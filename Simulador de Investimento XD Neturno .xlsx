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slicers/slicer2.xml" ContentType="application/vnd.ms-excel.slicer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fd9017776d3f911/Área de Trabalho/Projeto Simulador de Investimento FIIs/"/>
    </mc:Choice>
  </mc:AlternateContent>
  <xr:revisionPtr revIDLastSave="76" documentId="8_{6E577CC5-5717-454E-B629-F6F3749F5784}" xr6:coauthVersionLast="47" xr6:coauthVersionMax="47" xr10:uidLastSave="{D0134315-BC70-4639-9DFC-05E052B054FD}"/>
  <bookViews>
    <workbookView xWindow="-108" yWindow="-108" windowWidth="23256" windowHeight="12456" tabRatio="150" xr2:uid="{584742CE-BE99-439A-806C-05C1D0074BA2}"/>
  </bookViews>
  <sheets>
    <sheet name="APP" sheetId="1" r:id="rId1"/>
    <sheet name="FIIS-DADOS " sheetId="5" r:id="rId2"/>
    <sheet name="FIIS" sheetId="8" r:id="rId3"/>
    <sheet name="BASE DE DADOS DE APOIO" sheetId="2" r:id="rId4"/>
  </sheets>
  <definedNames>
    <definedName name="_xlnm._FilterDatabase" localSheetId="0" hidden="1">APP!#REF!</definedName>
    <definedName name="Aporte">APP!$G$15</definedName>
    <definedName name="AporteAno">APP!$G$16</definedName>
    <definedName name="patrimonio_acumulado">APP!$G$18</definedName>
    <definedName name="SegmentaçãodeDados_CATEGORIA">#N/A</definedName>
    <definedName name="sugestao_iv">APP!$G$8</definedName>
    <definedName name="tx_carteira">APP!$G$7</definedName>
    <definedName name="txr_mensal">APP!$G$17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5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" i="8" l="1" a="1"/>
  <c r="K1" i="8" s="1"/>
  <c r="A2" i="5"/>
  <c r="D29" i="1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D28" i="1"/>
  <c r="E15" i="5"/>
  <c r="E14" i="5"/>
  <c r="G14" i="5"/>
  <c r="K2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F2" i="5" a="1"/>
  <c r="F2" i="5" s="1"/>
  <c r="D2" i="8" s="1"/>
  <c r="F20" i="5" a="1"/>
  <c r="F20" i="5" s="1"/>
  <c r="D20" i="8" s="1"/>
  <c r="F19" i="5" a="1"/>
  <c r="F19" i="5" s="1"/>
  <c r="D19" i="8" s="1"/>
  <c r="A2" i="2"/>
  <c r="F24" i="1"/>
  <c r="F18" i="5" a="1"/>
  <c r="F18" i="5" s="1"/>
  <c r="D18" i="8" s="1"/>
  <c r="F16" i="5" a="1"/>
  <c r="F16" i="5" s="1"/>
  <c r="D16" i="8" s="1"/>
  <c r="F17" i="5" a="1"/>
  <c r="F17" i="5" s="1"/>
  <c r="D17" i="8" s="1"/>
  <c r="F15" i="5" a="1"/>
  <c r="F15" i="5" s="1"/>
  <c r="D15" i="8" s="1"/>
  <c r="F14" i="5" a="1"/>
  <c r="F14" i="5" s="1"/>
  <c r="D14" i="8" s="1"/>
  <c r="F12" i="5" a="1"/>
  <c r="F12" i="5" s="1"/>
  <c r="D12" i="8" s="1"/>
  <c r="F13" i="5" a="1"/>
  <c r="F13" i="5" s="1"/>
  <c r="D13" i="8" s="1"/>
  <c r="F7" i="5" a="1"/>
  <c r="F7" i="5" s="1"/>
  <c r="D7" i="8" s="1"/>
  <c r="F8" i="5" a="1"/>
  <c r="F8" i="5" s="1"/>
  <c r="D8" i="8" s="1"/>
  <c r="F9" i="5" a="1"/>
  <c r="F9" i="5" s="1"/>
  <c r="D9" i="8" s="1"/>
  <c r="F10" i="5" a="1"/>
  <c r="F10" i="5" s="1"/>
  <c r="D10" i="8" s="1"/>
  <c r="F11" i="5" a="1"/>
  <c r="F11" i="5" s="1"/>
  <c r="D11" i="8" s="1"/>
  <c r="F3" i="5" a="1"/>
  <c r="F3" i="5" s="1"/>
  <c r="D3" i="8" s="1"/>
  <c r="F4" i="5" a="1"/>
  <c r="F4" i="5" s="1"/>
  <c r="D4" i="8" s="1"/>
  <c r="F5" i="5" a="1"/>
  <c r="F5" i="5" s="1"/>
  <c r="D5" i="8" s="1"/>
  <c r="F6" i="5" a="1"/>
  <c r="F6" i="5" s="1"/>
  <c r="D6" i="8" s="1"/>
  <c r="F9" i="2"/>
  <c r="G16" i="1"/>
  <c r="G15" i="1"/>
  <c r="Q17" i="1" s="1"/>
  <c r="R17" i="1" s="1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G8" i="1"/>
  <c r="Q18" i="1" l="1"/>
  <c r="R18" i="1" s="1"/>
  <c r="Q19" i="1"/>
  <c r="R19" i="1" s="1"/>
  <c r="Q15" i="1"/>
  <c r="R15" i="1" s="1"/>
  <c r="Q16" i="1"/>
  <c r="R16" i="1" s="1"/>
  <c r="G18" i="1"/>
  <c r="G19" i="1" s="1"/>
  <c r="G29" i="1"/>
  <c r="G28" i="1"/>
  <c r="E2" i="5" s="1"/>
  <c r="D33" i="1"/>
  <c r="G33" i="1" s="1"/>
  <c r="E20" i="5" s="1"/>
  <c r="G20" i="5" s="1"/>
  <c r="D32" i="1"/>
  <c r="G32" i="1" s="1"/>
  <c r="D31" i="1"/>
  <c r="G31" i="1" s="1"/>
  <c r="D30" i="1"/>
  <c r="G30" i="1" s="1"/>
  <c r="G34" i="1" l="1"/>
  <c r="H20" i="5"/>
  <c r="I20" i="5" s="1"/>
  <c r="J20" i="5" s="1"/>
  <c r="F20" i="8" s="1"/>
  <c r="C20" i="8"/>
  <c r="E17" i="5"/>
  <c r="G17" i="5" s="1"/>
  <c r="E16" i="5"/>
  <c r="G16" i="5" s="1"/>
  <c r="E6" i="5"/>
  <c r="G6" i="5" s="1"/>
  <c r="G2" i="5"/>
  <c r="C2" i="8" s="1"/>
  <c r="E3" i="5"/>
  <c r="G3" i="5" s="1"/>
  <c r="E4" i="5"/>
  <c r="G4" i="5" s="1"/>
  <c r="E5" i="5"/>
  <c r="G5" i="5" s="1"/>
  <c r="E7" i="5"/>
  <c r="G7" i="5" s="1"/>
  <c r="E12" i="5"/>
  <c r="G12" i="5" s="1"/>
  <c r="E13" i="5"/>
  <c r="G13" i="5" s="1"/>
  <c r="E8" i="5"/>
  <c r="G8" i="5" s="1"/>
  <c r="E9" i="5"/>
  <c r="G9" i="5" s="1"/>
  <c r="E10" i="5"/>
  <c r="G10" i="5" s="1"/>
  <c r="E11" i="5"/>
  <c r="G11" i="5" s="1"/>
  <c r="E18" i="5"/>
  <c r="G18" i="5" s="1"/>
  <c r="E19" i="5"/>
  <c r="G19" i="5" s="1"/>
  <c r="G15" i="5"/>
  <c r="E20" i="8" l="1"/>
  <c r="H7" i="5"/>
  <c r="E7" i="8" s="1"/>
  <c r="C7" i="8"/>
  <c r="H5" i="5"/>
  <c r="I5" i="5" s="1"/>
  <c r="J5" i="5" s="1"/>
  <c r="F5" i="8" s="1"/>
  <c r="C5" i="8"/>
  <c r="H14" i="5"/>
  <c r="I14" i="5" s="1"/>
  <c r="J14" i="5" s="1"/>
  <c r="F14" i="8" s="1"/>
  <c r="C14" i="8"/>
  <c r="H4" i="5"/>
  <c r="I4" i="5" s="1"/>
  <c r="J4" i="5" s="1"/>
  <c r="F4" i="8" s="1"/>
  <c r="C4" i="8"/>
  <c r="H15" i="5"/>
  <c r="I15" i="5" s="1"/>
  <c r="J15" i="5" s="1"/>
  <c r="F15" i="8" s="1"/>
  <c r="C15" i="8"/>
  <c r="H3" i="5"/>
  <c r="E3" i="8" s="1"/>
  <c r="C3" i="8"/>
  <c r="H19" i="5"/>
  <c r="I19" i="5" s="1"/>
  <c r="J19" i="5" s="1"/>
  <c r="F19" i="8" s="1"/>
  <c r="C19" i="8"/>
  <c r="H18" i="5"/>
  <c r="I18" i="5" s="1"/>
  <c r="J18" i="5" s="1"/>
  <c r="F18" i="8" s="1"/>
  <c r="C18" i="8"/>
  <c r="H6" i="5"/>
  <c r="I6" i="5" s="1"/>
  <c r="J6" i="5" s="1"/>
  <c r="F6" i="8" s="1"/>
  <c r="C6" i="8"/>
  <c r="H11" i="5"/>
  <c r="I11" i="5" s="1"/>
  <c r="J11" i="5" s="1"/>
  <c r="F11" i="8" s="1"/>
  <c r="C11" i="8"/>
  <c r="H16" i="5"/>
  <c r="I16" i="5" s="1"/>
  <c r="J16" i="5" s="1"/>
  <c r="F16" i="8" s="1"/>
  <c r="C16" i="8"/>
  <c r="H10" i="5"/>
  <c r="I10" i="5" s="1"/>
  <c r="J10" i="5" s="1"/>
  <c r="F10" i="8" s="1"/>
  <c r="C10" i="8"/>
  <c r="H17" i="5"/>
  <c r="E17" i="8" s="1"/>
  <c r="C17" i="8"/>
  <c r="H9" i="5"/>
  <c r="I9" i="5" s="1"/>
  <c r="J9" i="5" s="1"/>
  <c r="F9" i="8" s="1"/>
  <c r="C9" i="8"/>
  <c r="H8" i="5"/>
  <c r="I8" i="5" s="1"/>
  <c r="J8" i="5" s="1"/>
  <c r="F8" i="8" s="1"/>
  <c r="C8" i="8"/>
  <c r="H13" i="5"/>
  <c r="E13" i="8" s="1"/>
  <c r="C13" i="8"/>
  <c r="H12" i="5"/>
  <c r="I12" i="5" s="1"/>
  <c r="J12" i="5" s="1"/>
  <c r="F12" i="8" s="1"/>
  <c r="C12" i="8"/>
  <c r="H2" i="5"/>
  <c r="E2" i="8" s="1"/>
  <c r="I13" i="5" l="1"/>
  <c r="J13" i="5" s="1"/>
  <c r="F13" i="8" s="1"/>
  <c r="I17" i="5"/>
  <c r="J17" i="5" s="1"/>
  <c r="F17" i="8" s="1"/>
  <c r="I7" i="5"/>
  <c r="J7" i="5" s="1"/>
  <c r="F7" i="8" s="1"/>
  <c r="E19" i="8"/>
  <c r="E15" i="8"/>
  <c r="E4" i="8"/>
  <c r="E14" i="8"/>
  <c r="E5" i="8"/>
  <c r="E10" i="8"/>
  <c r="E16" i="8"/>
  <c r="E11" i="8"/>
  <c r="E8" i="8"/>
  <c r="E6" i="8"/>
  <c r="E9" i="8"/>
  <c r="E18" i="8"/>
  <c r="I3" i="5"/>
  <c r="J3" i="5" s="1"/>
  <c r="F3" i="8" s="1"/>
  <c r="E12" i="8"/>
  <c r="I2" i="5"/>
  <c r="J2" i="5" s="1"/>
  <c r="F2" i="8" s="1"/>
  <c r="C38" i="1" l="1" a="1"/>
  <c r="C38" i="1" s="1"/>
  <c r="F36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7">
    <bk>
      <extLst>
        <ext uri="{3e2802c4-a4d2-4d8b-9148-e3be6c30e623}">
          <xlrd:rvb i="2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7"/>
        </ext>
      </extLst>
    </bk>
  </futureMetadata>
  <cellMetadata count="1">
    <bk>
      <rc t="1" v="0"/>
    </bk>
  </cellMetadata>
  <valueMetadata count="17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</valueMetadata>
</metadata>
</file>

<file path=xl/sharedStrings.xml><?xml version="1.0" encoding="utf-8"?>
<sst xmlns="http://schemas.openxmlformats.org/spreadsheetml/2006/main" count="185" uniqueCount="85">
  <si>
    <t>Quanto investir por mês?</t>
  </si>
  <si>
    <t>Quantos Anos?</t>
  </si>
  <si>
    <t>Taxa de Rendimento Mensal</t>
  </si>
  <si>
    <t>Patrimônio Acumulado</t>
  </si>
  <si>
    <t>Dividendo Mensais</t>
  </si>
  <si>
    <t>Quanto em 2 anos?</t>
  </si>
  <si>
    <t>Quanto em 10 anos?</t>
  </si>
  <si>
    <t>Quanto em 20 anos?</t>
  </si>
  <si>
    <t>Quanto em 30 anos?</t>
  </si>
  <si>
    <t>Quanto em 5 anos?</t>
  </si>
  <si>
    <t>Dividendo</t>
  </si>
  <si>
    <t>CENÁRIOS</t>
  </si>
  <si>
    <t>Rendimento da Carteira</t>
  </si>
  <si>
    <t>Salário</t>
  </si>
  <si>
    <t>Sugestão de Investimento (30%)</t>
  </si>
  <si>
    <t>CARTEIRA</t>
  </si>
  <si>
    <t>MENSAL</t>
  </si>
  <si>
    <t xml:space="preserve">                  CONFIGURAÇÕES</t>
  </si>
  <si>
    <t xml:space="preserve">                  INVESTIMENTO FII</t>
  </si>
  <si>
    <t>PERFIL</t>
  </si>
  <si>
    <t>VALOR A SER INVESTIDO POR MÊS</t>
  </si>
  <si>
    <t>VALORES</t>
  </si>
  <si>
    <t>PAPEL</t>
  </si>
  <si>
    <t>TIJOLOS</t>
  </si>
  <si>
    <t>HIBRIDOS</t>
  </si>
  <si>
    <t>FOFS</t>
  </si>
  <si>
    <t>DESENVOLVIMENTO</t>
  </si>
  <si>
    <t>HOTELARIA</t>
  </si>
  <si>
    <t>TIPOS DE FIIs</t>
  </si>
  <si>
    <t xml:space="preserve">                  TIPOS  DE FUNDOS FIIs</t>
  </si>
  <si>
    <t>MODERADO</t>
  </si>
  <si>
    <t>CONSERVADOR</t>
  </si>
  <si>
    <t>AGRESSIVO</t>
  </si>
  <si>
    <t>CHAVES</t>
  </si>
  <si>
    <t>TIPO DE FIIs</t>
  </si>
  <si>
    <t>%</t>
  </si>
  <si>
    <t>CONSERVADOR-PAPEL</t>
  </si>
  <si>
    <t>TOTAL</t>
  </si>
  <si>
    <t xml:space="preserve"> PROJEÇÃO FUTURA</t>
  </si>
  <si>
    <t>TIPO DE PERFIL DE INVESTIDOR(A)</t>
  </si>
  <si>
    <t>QUANTOS ANOS?</t>
  </si>
  <si>
    <r>
      <rPr>
        <i/>
        <sz val="11"/>
        <color theme="1"/>
        <rFont val="Segoe UI"/>
        <family val="2"/>
      </rPr>
      <t>QUANTOS ANOS QUERO</t>
    </r>
    <r>
      <rPr>
        <i/>
        <sz val="11"/>
        <color theme="1"/>
        <rFont val="Aptos Narrow"/>
        <family val="2"/>
        <scheme val="minor"/>
      </rPr>
      <t xml:space="preserve"> INVESTIR</t>
    </r>
  </si>
  <si>
    <t>PORCENTAGEM SUGERIDA</t>
  </si>
  <si>
    <t>ANOS</t>
  </si>
  <si>
    <t xml:space="preserve">PERFIL </t>
  </si>
  <si>
    <t>FII</t>
  </si>
  <si>
    <t>FOF</t>
  </si>
  <si>
    <t>PROJEÇÃO POR FIIs</t>
  </si>
  <si>
    <t>CATEGORIA</t>
  </si>
  <si>
    <t>RENDIMENTO</t>
  </si>
  <si>
    <t>VALOR  FII</t>
  </si>
  <si>
    <t>QUANTIDADE</t>
  </si>
  <si>
    <t>PREÇO</t>
  </si>
  <si>
    <t>KIVO11</t>
  </si>
  <si>
    <t>BCRI11</t>
  </si>
  <si>
    <t>HCTR11</t>
  </si>
  <si>
    <t>RZTR11</t>
  </si>
  <si>
    <t>CPTS11</t>
  </si>
  <si>
    <t>CPSH11</t>
  </si>
  <si>
    <t>XPML11</t>
  </si>
  <si>
    <t>GZIT11</t>
  </si>
  <si>
    <t>BLMG11</t>
  </si>
  <si>
    <t>RELG11</t>
  </si>
  <si>
    <t>PVBI11</t>
  </si>
  <si>
    <t>HGRE11</t>
  </si>
  <si>
    <t>SNFF11</t>
  </si>
  <si>
    <t>BCFF11</t>
  </si>
  <si>
    <t>HFOF11</t>
  </si>
  <si>
    <t>FIVN11</t>
  </si>
  <si>
    <t>HTMX11</t>
  </si>
  <si>
    <t>Valor_categoria</t>
  </si>
  <si>
    <t>Qtde_FIIs_cat</t>
  </si>
  <si>
    <t>Investido_real</t>
  </si>
  <si>
    <t>HIBRIDO</t>
  </si>
  <si>
    <t>GRÁFICO GERAL</t>
  </si>
  <si>
    <t>FIIS</t>
  </si>
  <si>
    <t>RENDIMENTO MENSAL</t>
  </si>
  <si>
    <t>R$ VALOR  FII</t>
  </si>
  <si>
    <t>R$ PREÇO CTA</t>
  </si>
  <si>
    <t>Nº DE CTA</t>
  </si>
  <si>
    <t>CHAVE</t>
  </si>
  <si>
    <t>VALOR POR FIIS</t>
  </si>
  <si>
    <t>PREÇO POR COTA</t>
  </si>
  <si>
    <t>QTD DE COTA</t>
  </si>
  <si>
    <t xml:space="preserve">                  CATEGORIA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</si>
</sst>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  <numFmt numFmtId="165" formatCode="_-[$R$-416]\ * #,##0.00_-;\-[$R$-416]\ * #,##0.00_-;_-[$R$-416]\ * &quot;-&quot;??_-;_-@_-"/>
  </numFmts>
  <fonts count="28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000000"/>
      <name val="Segoe UI"/>
      <family val="2"/>
    </font>
    <font>
      <b/>
      <sz val="12"/>
      <color theme="1"/>
      <name val="Segoe UI "/>
    </font>
    <font>
      <sz val="12"/>
      <color theme="1"/>
      <name val="Segoe UI "/>
    </font>
    <font>
      <b/>
      <sz val="12"/>
      <color theme="0"/>
      <name val="Segoe UI "/>
    </font>
    <font>
      <b/>
      <i/>
      <sz val="14"/>
      <color theme="0"/>
      <name val="Segoe UI "/>
    </font>
    <font>
      <sz val="12"/>
      <color theme="1"/>
      <name val="Segoe UI"/>
      <family val="2"/>
    </font>
    <font>
      <b/>
      <sz val="12"/>
      <color theme="1"/>
      <name val="Segoe UI"/>
      <family val="2"/>
    </font>
    <font>
      <b/>
      <i/>
      <sz val="18"/>
      <color theme="0"/>
      <name val="Segoe UI "/>
    </font>
    <font>
      <b/>
      <i/>
      <sz val="18"/>
      <color theme="0"/>
      <name val="Segoe UI"/>
      <family val="2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Segoe UI"/>
      <family val="2"/>
    </font>
    <font>
      <i/>
      <sz val="11"/>
      <color theme="1"/>
      <name val="Aptos Narrow"/>
      <family val="2"/>
      <scheme val="minor"/>
    </font>
    <font>
      <i/>
      <sz val="11"/>
      <color theme="1"/>
      <name val="Segoe UI"/>
      <family val="2"/>
    </font>
    <font>
      <b/>
      <i/>
      <sz val="11"/>
      <color theme="1"/>
      <name val="Segoe UI"/>
      <family val="2"/>
    </font>
    <font>
      <b/>
      <i/>
      <sz val="14"/>
      <color theme="1"/>
      <name val="Segoe UI"/>
      <family val="2"/>
    </font>
    <font>
      <b/>
      <sz val="14"/>
      <color rgb="FF9C5700"/>
      <name val="Segoe UI"/>
      <family val="2"/>
    </font>
    <font>
      <sz val="11"/>
      <color theme="1"/>
      <name val="Segoe UI Black"/>
      <family val="2"/>
    </font>
    <font>
      <b/>
      <sz val="14"/>
      <color theme="1"/>
      <name val="Segoe UI "/>
    </font>
    <font>
      <b/>
      <sz val="12"/>
      <color theme="1"/>
      <name val="Aptos Narrow"/>
      <family val="2"/>
      <scheme val="minor"/>
    </font>
    <font>
      <b/>
      <sz val="11"/>
      <color theme="1" tint="0.499984740745262"/>
      <name val="Segoe UI"/>
      <family val="2"/>
    </font>
    <font>
      <sz val="8"/>
      <name val="Aptos Narrow"/>
      <family val="2"/>
      <scheme val="minor"/>
    </font>
    <font>
      <b/>
      <sz val="12"/>
      <color rgb="FFFFC000"/>
      <name val="Segoe UI "/>
    </font>
    <font>
      <sz val="11"/>
      <color rgb="FFFF0000"/>
      <name val="Aptos Narrow"/>
      <family val="2"/>
      <scheme val="minor"/>
    </font>
    <font>
      <sz val="11"/>
      <color rgb="FFFFFF0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D7882"/>
        <bgColor indexed="64"/>
      </patternFill>
    </fill>
    <fill>
      <patternFill patternType="solid">
        <fgColor rgb="FF3F6461"/>
        <bgColor indexed="64"/>
      </patternFill>
    </fill>
    <fill>
      <patternFill patternType="solid">
        <fgColor rgb="FFFFEB9C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/>
        <bgColor indexed="64"/>
      </patternFill>
    </fill>
  </fills>
  <borders count="6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indexed="64"/>
      </right>
      <top/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indexed="64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indexed="64"/>
      </left>
      <right/>
      <top style="medium">
        <color theme="0" tint="-0.14996795556505021"/>
      </top>
      <bottom style="medium">
        <color indexed="64"/>
      </bottom>
      <diagonal/>
    </border>
    <border>
      <left style="medium">
        <color theme="0" tint="-0.14996795556505021"/>
      </left>
      <right style="medium">
        <color indexed="64"/>
      </right>
      <top style="medium">
        <color theme="0" tint="-0.1499679555650502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theme="0" tint="-0.14996795556505021"/>
      </bottom>
      <diagonal/>
    </border>
    <border>
      <left style="medium">
        <color indexed="64"/>
      </left>
      <right/>
      <top style="medium">
        <color theme="0" tint="-0.14996795556505021"/>
      </top>
      <bottom style="medium">
        <color theme="0" tint="-0.14996795556505021"/>
      </bottom>
      <diagonal/>
    </border>
    <border>
      <left/>
      <right/>
      <top style="thick">
        <color theme="4"/>
      </top>
      <bottom/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theme="0" tint="-0.14996795556505021"/>
      </bottom>
      <diagonal/>
    </border>
    <border>
      <left/>
      <right/>
      <top style="medium">
        <color indexed="64"/>
      </top>
      <bottom style="medium">
        <color theme="0" tint="-0.14996795556505021"/>
      </bottom>
      <diagonal/>
    </border>
    <border>
      <left/>
      <right/>
      <top style="medium">
        <color theme="0" tint="-0.14996795556505021"/>
      </top>
      <bottom style="medium">
        <color indexed="64"/>
      </bottom>
      <diagonal/>
    </border>
    <border>
      <left/>
      <right/>
      <top/>
      <bottom style="medium">
        <color theme="0" tint="-0.14996795556505021"/>
      </bottom>
      <diagonal/>
    </border>
    <border>
      <left style="double">
        <color theme="0" tint="-0.14993743705557422"/>
      </left>
      <right style="medium">
        <color indexed="64"/>
      </right>
      <top style="medium">
        <color indexed="64"/>
      </top>
      <bottom/>
      <diagonal/>
    </border>
    <border>
      <left style="double">
        <color theme="0" tint="-0.14993743705557422"/>
      </left>
      <right style="medium">
        <color indexed="64"/>
      </right>
      <top/>
      <bottom style="medium">
        <color theme="0" tint="-0.14996795556505021"/>
      </bottom>
      <diagonal/>
    </border>
    <border>
      <left style="double">
        <color theme="0" tint="-0.14993743705557422"/>
      </left>
      <right style="medium">
        <color indexed="64"/>
      </right>
      <top style="medium">
        <color theme="0" tint="-0.14996795556505021"/>
      </top>
      <bottom style="medium">
        <color theme="3"/>
      </bottom>
      <diagonal/>
    </border>
    <border>
      <left style="medium">
        <color theme="0" tint="-0.1499679555650502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theme="0" tint="-0.14996795556505021"/>
      </right>
      <top style="medium">
        <color theme="0" tint="-0.14993743705557422"/>
      </top>
      <bottom/>
      <diagonal/>
    </border>
    <border>
      <left style="medium">
        <color theme="0" tint="-0.14996795556505021"/>
      </left>
      <right style="medium">
        <color indexed="64"/>
      </right>
      <top style="medium">
        <color theme="0" tint="-0.14993743705557422"/>
      </top>
      <bottom/>
      <diagonal/>
    </border>
    <border>
      <left style="medium">
        <color indexed="64"/>
      </left>
      <right style="medium">
        <color theme="0" tint="-0.14996795556505021"/>
      </right>
      <top/>
      <bottom style="medium">
        <color theme="0" tint="-0.14993743705557422"/>
      </bottom>
      <diagonal/>
    </border>
    <border>
      <left style="medium">
        <color indexed="64"/>
      </left>
      <right/>
      <top style="medium">
        <color indexed="64"/>
      </top>
      <bottom style="medium">
        <color theme="0" tint="-0.14993743705557422"/>
      </bottom>
      <diagonal/>
    </border>
    <border>
      <left/>
      <right style="medium">
        <color indexed="64"/>
      </right>
      <top style="medium">
        <color indexed="64"/>
      </top>
      <bottom style="medium">
        <color theme="0" tint="-0.14993743705557422"/>
      </bottom>
      <diagonal/>
    </border>
    <border>
      <left style="medium">
        <color indexed="64"/>
      </left>
      <right style="medium">
        <color theme="0" tint="-0.14996795556505021"/>
      </right>
      <top/>
      <bottom/>
      <diagonal/>
    </border>
    <border>
      <left style="medium">
        <color theme="0" tint="-0.14996795556505021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theme="0" tint="-0.14993743705557422"/>
      </bottom>
      <diagonal/>
    </border>
    <border>
      <left/>
      <right/>
      <top style="medium">
        <color theme="0" tint="-0.14993743705557422"/>
      </top>
      <bottom/>
      <diagonal/>
    </border>
    <border>
      <left/>
      <right/>
      <top/>
      <bottom style="medium">
        <color theme="0" tint="-0.14993743705557422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theme="0" tint="-0.14996795556505021"/>
      </left>
      <right/>
      <top style="medium">
        <color theme="0" tint="-0.14993743705557422"/>
      </top>
      <bottom/>
      <diagonal/>
    </border>
    <border>
      <left/>
      <right style="medium">
        <color indexed="64"/>
      </right>
      <top style="medium">
        <color theme="0" tint="-0.14993743705557422"/>
      </top>
      <bottom/>
      <diagonal/>
    </border>
    <border>
      <left style="medium">
        <color theme="0" tint="-0.14996795556505021"/>
      </left>
      <right/>
      <top/>
      <bottom style="medium">
        <color theme="0" tint="-0.14993743705557422"/>
      </bottom>
      <diagonal/>
    </border>
    <border>
      <left/>
      <right style="medium">
        <color indexed="64"/>
      </right>
      <top/>
      <bottom style="medium">
        <color theme="0" tint="-0.14993743705557422"/>
      </bottom>
      <diagonal/>
    </border>
    <border>
      <left style="medium">
        <color indexed="64"/>
      </left>
      <right style="medium">
        <color theme="0" tint="-0.14996795556505021"/>
      </right>
      <top style="medium">
        <color indexed="64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indexed="64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indexed="64"/>
      </right>
      <top style="medium">
        <color indexed="64"/>
      </top>
      <bottom style="medium">
        <color theme="0" tint="-0.14996795556505021"/>
      </bottom>
      <diagonal/>
    </border>
    <border>
      <left style="medium">
        <color indexed="64"/>
      </left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/>
      <right style="medium">
        <color theme="0" tint="-0.14996795556505021"/>
      </right>
      <top style="medium">
        <color theme="0" tint="-0.14996795556505021"/>
      </top>
      <bottom style="medium">
        <color indexed="64"/>
      </bottom>
      <diagonal/>
    </border>
    <border>
      <left style="medium">
        <color theme="0" tint="-0.14996795556505021"/>
      </left>
      <right style="medium">
        <color theme="0" tint="-0.14996795556505021"/>
      </right>
      <top/>
      <bottom style="medium">
        <color theme="0" tint="-0.14996795556505021"/>
      </bottom>
      <diagonal/>
    </border>
    <border>
      <left style="medium">
        <color indexed="64"/>
      </left>
      <right style="medium">
        <color theme="0" tint="-0.14996795556505021"/>
      </right>
      <top/>
      <bottom style="medium">
        <color theme="0" tint="-0.14996795556505021"/>
      </bottom>
      <diagonal/>
    </border>
    <border>
      <left style="medium">
        <color theme="3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theme="3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theme="3"/>
      </left>
      <right/>
      <top style="medium">
        <color theme="3"/>
      </top>
      <bottom style="thin">
        <color theme="0" tint="-0.14996795556505021"/>
      </bottom>
      <diagonal/>
    </border>
    <border>
      <left/>
      <right/>
      <top style="medium">
        <color theme="3"/>
      </top>
      <bottom style="thin">
        <color theme="0" tint="-0.14996795556505021"/>
      </bottom>
      <diagonal/>
    </border>
    <border>
      <left/>
      <right style="medium">
        <color theme="3"/>
      </right>
      <top style="medium">
        <color theme="3"/>
      </top>
      <bottom style="thin">
        <color theme="0" tint="-0.14996795556505021"/>
      </bottom>
      <diagonal/>
    </border>
    <border>
      <left style="medium">
        <color theme="3"/>
      </left>
      <right style="thin">
        <color theme="0"/>
      </right>
      <top style="thin">
        <color theme="0" tint="-0.1499679555650502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 tint="-0.14996795556505021"/>
      </top>
      <bottom style="thin">
        <color theme="0"/>
      </bottom>
      <diagonal/>
    </border>
    <border>
      <left style="thin">
        <color theme="0"/>
      </left>
      <right style="medium">
        <color theme="3"/>
      </right>
      <top style="thin">
        <color theme="0" tint="-0.14996795556505021"/>
      </top>
      <bottom style="thin">
        <color theme="0"/>
      </bottom>
      <diagonal/>
    </border>
    <border>
      <left style="medium">
        <color theme="3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theme="3"/>
      </right>
      <top style="thin">
        <color theme="0"/>
      </top>
      <bottom style="thin">
        <color theme="0"/>
      </bottom>
      <diagonal/>
    </border>
    <border>
      <left style="medium">
        <color theme="3"/>
      </left>
      <right style="thin">
        <color theme="0"/>
      </right>
      <top style="thin">
        <color theme="0"/>
      </top>
      <bottom style="medium">
        <color theme="3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theme="3"/>
      </bottom>
      <diagonal/>
    </border>
    <border>
      <left style="thin">
        <color theme="0"/>
      </left>
      <right style="medium">
        <color theme="3"/>
      </right>
      <top style="thin">
        <color theme="0"/>
      </top>
      <bottom style="medium">
        <color theme="3"/>
      </bottom>
      <diagonal/>
    </border>
    <border>
      <left style="medium">
        <color indexed="64"/>
      </left>
      <right/>
      <top style="medium">
        <color theme="0" tint="-0.14993743705557422"/>
      </top>
      <bottom style="medium">
        <color indexed="64"/>
      </bottom>
      <diagonal/>
    </border>
    <border>
      <left/>
      <right/>
      <top style="medium">
        <color theme="0" tint="-0.14993743705557422"/>
      </top>
      <bottom style="medium">
        <color indexed="64"/>
      </bottom>
      <diagonal/>
    </border>
    <border>
      <left/>
      <right style="medium">
        <color theme="0" tint="-0.14996795556505021"/>
      </right>
      <top style="medium">
        <color theme="0" tint="-0.14993743705557422"/>
      </top>
      <bottom style="medium">
        <color indexed="64"/>
      </bottom>
      <diagonal/>
    </border>
  </borders>
  <cellStyleXfs count="6">
    <xf numFmtId="0" fontId="0" fillId="0" borderId="0"/>
    <xf numFmtId="0" fontId="1" fillId="0" borderId="1" applyNumberFormat="0" applyFill="0" applyAlignment="0" applyProtection="0"/>
    <xf numFmtId="44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3" fillId="7" borderId="0" applyNumberFormat="0" applyBorder="0" applyAlignment="0" applyProtection="0"/>
    <xf numFmtId="0" fontId="26" fillId="0" borderId="0" applyNumberFormat="0" applyFill="0" applyBorder="0" applyAlignment="0" applyProtection="0"/>
  </cellStyleXfs>
  <cellXfs count="153">
    <xf numFmtId="0" fontId="0" fillId="0" borderId="0" xfId="0"/>
    <xf numFmtId="1" fontId="0" fillId="0" borderId="0" xfId="0" applyNumberFormat="1"/>
    <xf numFmtId="9" fontId="0" fillId="0" borderId="0" xfId="0" applyNumberFormat="1"/>
    <xf numFmtId="0" fontId="0" fillId="0" borderId="0" xfId="0" applyAlignment="1">
      <alignment horizontal="center"/>
    </xf>
    <xf numFmtId="0" fontId="0" fillId="0" borderId="13" xfId="0" applyBorder="1" applyAlignment="1">
      <alignment horizontal="center"/>
    </xf>
    <xf numFmtId="9" fontId="0" fillId="0" borderId="0" xfId="0" applyNumberFormat="1" applyAlignment="1">
      <alignment horizontal="right"/>
    </xf>
    <xf numFmtId="9" fontId="0" fillId="0" borderId="13" xfId="0" applyNumberFormat="1" applyBorder="1" applyAlignment="1">
      <alignment horizontal="right"/>
    </xf>
    <xf numFmtId="9" fontId="0" fillId="0" borderId="13" xfId="0" applyNumberFormat="1" applyBorder="1"/>
    <xf numFmtId="0" fontId="0" fillId="0" borderId="0" xfId="0" applyAlignment="1">
      <alignment horizontal="left"/>
    </xf>
    <xf numFmtId="0" fontId="0" fillId="0" borderId="13" xfId="0" applyBorder="1" applyAlignment="1">
      <alignment horizontal="left"/>
    </xf>
    <xf numFmtId="0" fontId="13" fillId="7" borderId="0" xfId="4" applyAlignment="1">
      <alignment horizontal="left"/>
    </xf>
    <xf numFmtId="9" fontId="0" fillId="0" borderId="0" xfId="3" applyFont="1"/>
    <xf numFmtId="165" fontId="0" fillId="0" borderId="0" xfId="0" applyNumberFormat="1"/>
    <xf numFmtId="164" fontId="0" fillId="0" borderId="0" xfId="0" applyNumberFormat="1"/>
    <xf numFmtId="0" fontId="22" fillId="0" borderId="0" xfId="0" applyFont="1"/>
    <xf numFmtId="0" fontId="0" fillId="0" borderId="35" xfId="0" applyBorder="1"/>
    <xf numFmtId="164" fontId="0" fillId="0" borderId="35" xfId="0" applyNumberFormat="1" applyBorder="1"/>
    <xf numFmtId="165" fontId="0" fillId="0" borderId="35" xfId="0" applyNumberFormat="1" applyBorder="1"/>
    <xf numFmtId="44" fontId="0" fillId="0" borderId="0" xfId="0" applyNumberFormat="1"/>
    <xf numFmtId="44" fontId="0" fillId="0" borderId="35" xfId="0" applyNumberFormat="1" applyBorder="1"/>
    <xf numFmtId="165" fontId="0" fillId="0" borderId="34" xfId="0" applyNumberFormat="1" applyBorder="1"/>
    <xf numFmtId="44" fontId="0" fillId="0" borderId="35" xfId="2" applyFont="1" applyBorder="1"/>
    <xf numFmtId="44" fontId="0" fillId="0" borderId="0" xfId="2" applyFont="1"/>
    <xf numFmtId="164" fontId="0" fillId="0" borderId="35" xfId="2" applyNumberFormat="1" applyFont="1" applyBorder="1"/>
    <xf numFmtId="164" fontId="0" fillId="0" borderId="0" xfId="2" applyNumberFormat="1" applyFont="1"/>
    <xf numFmtId="44" fontId="0" fillId="0" borderId="0" xfId="2" applyFont="1" applyBorder="1"/>
    <xf numFmtId="0" fontId="0" fillId="0" borderId="36" xfId="0" applyBorder="1"/>
    <xf numFmtId="0" fontId="0" fillId="0" borderId="34" xfId="0" applyBorder="1"/>
    <xf numFmtId="44" fontId="0" fillId="0" borderId="34" xfId="2" applyFont="1" applyBorder="1"/>
    <xf numFmtId="164" fontId="0" fillId="0" borderId="34" xfId="0" applyNumberFormat="1" applyBorder="1"/>
    <xf numFmtId="1" fontId="0" fillId="0" borderId="0" xfId="0" applyNumberFormat="1" applyAlignment="1">
      <alignment horizontal="center"/>
    </xf>
    <xf numFmtId="0" fontId="21" fillId="8" borderId="49" xfId="0" applyFont="1" applyFill="1" applyBorder="1" applyAlignment="1">
      <alignment horizontal="left" vertical="center"/>
    </xf>
    <xf numFmtId="0" fontId="21" fillId="8" borderId="48" xfId="0" applyFont="1" applyFill="1" applyBorder="1" applyAlignment="1">
      <alignment horizontal="left" vertical="center"/>
    </xf>
    <xf numFmtId="0" fontId="21" fillId="8" borderId="6" xfId="0" applyFont="1" applyFill="1" applyBorder="1" applyAlignment="1">
      <alignment horizontal="left" vertical="center"/>
    </xf>
    <xf numFmtId="10" fontId="9" fillId="0" borderId="5" xfId="0" applyNumberFormat="1" applyFont="1" applyBorder="1" applyAlignment="1" applyProtection="1">
      <alignment horizontal="right" indent="1"/>
      <protection locked="0"/>
    </xf>
    <xf numFmtId="164" fontId="14" fillId="3" borderId="21" xfId="2" applyNumberFormat="1" applyFont="1" applyFill="1" applyBorder="1" applyProtection="1">
      <protection locked="0"/>
    </xf>
    <xf numFmtId="0" fontId="0" fillId="2" borderId="0" xfId="0" applyFill="1"/>
    <xf numFmtId="0" fontId="0" fillId="2" borderId="13" xfId="0" applyFill="1" applyBorder="1"/>
    <xf numFmtId="0" fontId="0" fillId="4" borderId="0" xfId="0" applyFill="1"/>
    <xf numFmtId="0" fontId="1" fillId="0" borderId="1" xfId="1" applyFill="1" applyProtection="1"/>
    <xf numFmtId="0" fontId="1" fillId="4" borderId="1" xfId="1" applyFill="1" applyProtection="1"/>
    <xf numFmtId="0" fontId="8" fillId="0" borderId="14" xfId="0" applyFont="1" applyBorder="1" applyAlignment="1">
      <alignment horizontal="left" indent="1"/>
    </xf>
    <xf numFmtId="0" fontId="8" fillId="0" borderId="15" xfId="0" applyFont="1" applyBorder="1" applyAlignment="1">
      <alignment horizontal="left" indent="1"/>
    </xf>
    <xf numFmtId="164" fontId="9" fillId="0" borderId="15" xfId="0" applyNumberFormat="1" applyFont="1" applyBorder="1" applyAlignment="1">
      <alignment horizontal="right" indent="1"/>
    </xf>
    <xf numFmtId="0" fontId="8" fillId="0" borderId="11" xfId="0" applyFont="1" applyBorder="1" applyAlignment="1">
      <alignment horizontal="left" indent="1"/>
    </xf>
    <xf numFmtId="0" fontId="8" fillId="0" borderId="5" xfId="0" applyFont="1" applyBorder="1" applyAlignment="1">
      <alignment horizontal="left" indent="1"/>
    </xf>
    <xf numFmtId="0" fontId="8" fillId="3" borderId="8" xfId="0" applyFont="1" applyFill="1" applyBorder="1" applyAlignment="1">
      <alignment horizontal="left" indent="1"/>
    </xf>
    <xf numFmtId="0" fontId="8" fillId="3" borderId="16" xfId="0" applyFont="1" applyFill="1" applyBorder="1" applyAlignment="1">
      <alignment horizontal="left" indent="1"/>
    </xf>
    <xf numFmtId="164" fontId="9" fillId="3" borderId="16" xfId="0" applyNumberFormat="1" applyFont="1" applyFill="1" applyBorder="1" applyAlignment="1">
      <alignment horizontal="right" indent="1"/>
    </xf>
    <xf numFmtId="0" fontId="2" fillId="4" borderId="0" xfId="0" applyFont="1" applyFill="1"/>
    <xf numFmtId="0" fontId="0" fillId="0" borderId="12" xfId="0" applyBorder="1" applyAlignment="1">
      <alignment horizontal="center"/>
    </xf>
    <xf numFmtId="0" fontId="10" fillId="2" borderId="3" xfId="0" applyFont="1" applyFill="1" applyBorder="1" applyAlignment="1">
      <alignment horizontal="left" vertical="center" indent="1"/>
    </xf>
    <xf numFmtId="0" fontId="10" fillId="2" borderId="4" xfId="0" applyFont="1" applyFill="1" applyBorder="1" applyAlignment="1">
      <alignment horizontal="left" vertical="center" indent="1"/>
    </xf>
    <xf numFmtId="0" fontId="7" fillId="5" borderId="18" xfId="0" applyFont="1" applyFill="1" applyBorder="1" applyAlignment="1">
      <alignment horizontal="center" vertical="center"/>
    </xf>
    <xf numFmtId="0" fontId="5" fillId="0" borderId="10" xfId="0" applyFont="1" applyBorder="1" applyAlignment="1">
      <alignment horizontal="left" vertical="center" indent="1"/>
    </xf>
    <xf numFmtId="0" fontId="5" fillId="0" borderId="17" xfId="0" applyFont="1" applyBorder="1" applyAlignment="1">
      <alignment horizontal="left" vertical="center" indent="1"/>
    </xf>
    <xf numFmtId="0" fontId="5" fillId="0" borderId="17" xfId="0" applyFont="1" applyBorder="1" applyAlignment="1">
      <alignment horizontal="center" vertical="center"/>
    </xf>
    <xf numFmtId="164" fontId="4" fillId="0" borderId="6" xfId="0" applyNumberFormat="1" applyFont="1" applyBorder="1" applyAlignment="1">
      <alignment horizontal="right"/>
    </xf>
    <xf numFmtId="0" fontId="5" fillId="3" borderId="17" xfId="0" applyFont="1" applyFill="1" applyBorder="1" applyAlignment="1">
      <alignment horizontal="left" vertical="center" indent="1"/>
    </xf>
    <xf numFmtId="8" fontId="5" fillId="3" borderId="17" xfId="0" applyNumberFormat="1" applyFont="1" applyFill="1" applyBorder="1" applyAlignment="1">
      <alignment horizontal="left" vertical="center"/>
    </xf>
    <xf numFmtId="44" fontId="6" fillId="6" borderId="19" xfId="0" applyNumberFormat="1" applyFont="1" applyFill="1" applyBorder="1" applyAlignment="1">
      <alignment horizontal="center"/>
    </xf>
    <xf numFmtId="0" fontId="5" fillId="0" borderId="11" xfId="0" applyFont="1" applyBorder="1" applyAlignment="1">
      <alignment horizontal="left" indent="1"/>
    </xf>
    <xf numFmtId="0" fontId="5" fillId="0" borderId="5" xfId="0" applyFont="1" applyBorder="1" applyAlignment="1">
      <alignment horizontal="left" indent="1"/>
    </xf>
    <xf numFmtId="0" fontId="5" fillId="0" borderId="5" xfId="0" applyFont="1" applyBorder="1" applyAlignment="1">
      <alignment horizontal="center"/>
    </xf>
    <xf numFmtId="1" fontId="4" fillId="0" borderId="7" xfId="0" applyNumberFormat="1" applyFont="1" applyBorder="1" applyAlignment="1">
      <alignment horizontal="right"/>
    </xf>
    <xf numFmtId="0" fontId="5" fillId="3" borderId="17" xfId="0" applyFont="1" applyFill="1" applyBorder="1" applyAlignment="1">
      <alignment horizontal="left" indent="1"/>
    </xf>
    <xf numFmtId="0" fontId="5" fillId="0" borderId="11" xfId="0" applyFont="1" applyBorder="1" applyAlignment="1">
      <alignment horizontal="left" vertical="center" indent="1"/>
    </xf>
    <xf numFmtId="0" fontId="5" fillId="0" borderId="5" xfId="0" applyFont="1" applyBorder="1" applyAlignment="1">
      <alignment horizontal="left" vertical="center" indent="1"/>
    </xf>
    <xf numFmtId="10" fontId="3" fillId="0" borderId="7" xfId="0" applyNumberFormat="1" applyFont="1" applyBorder="1" applyAlignment="1">
      <alignment horizontal="right"/>
    </xf>
    <xf numFmtId="0" fontId="5" fillId="3" borderId="11" xfId="0" applyFont="1" applyFill="1" applyBorder="1" applyAlignment="1">
      <alignment horizontal="left" vertical="center" indent="1"/>
    </xf>
    <xf numFmtId="0" fontId="5" fillId="3" borderId="5" xfId="0" applyFont="1" applyFill="1" applyBorder="1" applyAlignment="1">
      <alignment horizontal="left" vertical="center" indent="1"/>
    </xf>
    <xf numFmtId="8" fontId="4" fillId="3" borderId="7" xfId="0" applyNumberFormat="1" applyFont="1" applyFill="1" applyBorder="1" applyAlignment="1">
      <alignment horizontal="right"/>
    </xf>
    <xf numFmtId="0" fontId="5" fillId="3" borderId="8" xfId="0" applyFont="1" applyFill="1" applyBorder="1" applyAlignment="1">
      <alignment horizontal="left" indent="1"/>
    </xf>
    <xf numFmtId="0" fontId="5" fillId="3" borderId="16" xfId="0" applyFont="1" applyFill="1" applyBorder="1" applyAlignment="1">
      <alignment horizontal="left" indent="1"/>
    </xf>
    <xf numFmtId="0" fontId="5" fillId="3" borderId="16" xfId="0" applyFont="1" applyFill="1" applyBorder="1"/>
    <xf numFmtId="8" fontId="4" fillId="3" borderId="9" xfId="0" applyNumberFormat="1" applyFont="1" applyFill="1" applyBorder="1" applyAlignment="1">
      <alignment horizontal="right"/>
    </xf>
    <xf numFmtId="0" fontId="5" fillId="3" borderId="2" xfId="0" applyFont="1" applyFill="1" applyBorder="1" applyAlignment="1">
      <alignment horizontal="left" indent="1"/>
    </xf>
    <xf numFmtId="8" fontId="5" fillId="3" borderId="2" xfId="0" applyNumberFormat="1" applyFont="1" applyFill="1" applyBorder="1" applyAlignment="1">
      <alignment horizontal="left" vertical="center"/>
    </xf>
    <xf numFmtId="44" fontId="6" fillId="6" borderId="20" xfId="0" applyNumberFormat="1" applyFont="1" applyFill="1" applyBorder="1" applyAlignment="1">
      <alignment horizontal="center"/>
    </xf>
    <xf numFmtId="0" fontId="1" fillId="0" borderId="0" xfId="1" applyFill="1" applyBorder="1" applyProtection="1"/>
    <xf numFmtId="0" fontId="4" fillId="8" borderId="0" xfId="0" applyFont="1" applyFill="1" applyAlignment="1">
      <alignment horizontal="left" vertical="center" indent="1"/>
    </xf>
    <xf numFmtId="0" fontId="23" fillId="0" borderId="0" xfId="0" applyFont="1"/>
    <xf numFmtId="0" fontId="20" fillId="0" borderId="0" xfId="0" applyFont="1"/>
    <xf numFmtId="0" fontId="21" fillId="8" borderId="45" xfId="0" applyFont="1" applyFill="1" applyBorder="1" applyAlignment="1">
      <alignment horizontal="left" vertical="center"/>
    </xf>
    <xf numFmtId="0" fontId="21" fillId="8" borderId="7" xfId="0" applyFont="1" applyFill="1" applyBorder="1" applyAlignment="1">
      <alignment horizontal="left" vertical="center" indent="1"/>
    </xf>
    <xf numFmtId="0" fontId="5" fillId="0" borderId="45" xfId="0" applyFont="1" applyBorder="1" applyAlignment="1">
      <alignment horizontal="left" vertical="center"/>
    </xf>
    <xf numFmtId="164" fontId="5" fillId="0" borderId="7" xfId="0" applyNumberFormat="1" applyFont="1" applyBorder="1" applyAlignment="1">
      <alignment horizontal="left" vertical="center" indent="1"/>
    </xf>
    <xf numFmtId="0" fontId="5" fillId="0" borderId="45" xfId="0" applyFont="1" applyBorder="1" applyAlignment="1">
      <alignment horizontal="left"/>
    </xf>
    <xf numFmtId="164" fontId="5" fillId="0" borderId="7" xfId="0" applyNumberFormat="1" applyFont="1" applyBorder="1" applyAlignment="1">
      <alignment horizontal="left" indent="1"/>
    </xf>
    <xf numFmtId="164" fontId="9" fillId="3" borderId="9" xfId="0" applyNumberFormat="1" applyFont="1" applyFill="1" applyBorder="1" applyAlignment="1">
      <alignment horizontal="left" indent="1"/>
    </xf>
    <xf numFmtId="0" fontId="10" fillId="2" borderId="53" xfId="0" applyFont="1" applyFill="1" applyBorder="1" applyAlignment="1">
      <alignment horizontal="left" vertical="center"/>
    </xf>
    <xf numFmtId="0" fontId="10" fillId="2" borderId="54" xfId="0" applyFont="1" applyFill="1" applyBorder="1" applyAlignment="1">
      <alignment horizontal="left" vertical="center"/>
    </xf>
    <xf numFmtId="0" fontId="21" fillId="8" borderId="50" xfId="0" applyFont="1" applyFill="1" applyBorder="1" applyAlignment="1">
      <alignment horizontal="left" vertical="center"/>
    </xf>
    <xf numFmtId="0" fontId="21" fillId="8" borderId="51" xfId="0" applyFont="1" applyFill="1" applyBorder="1" applyAlignment="1">
      <alignment horizontal="left" vertical="center"/>
    </xf>
    <xf numFmtId="0" fontId="21" fillId="8" borderId="52" xfId="0" applyFont="1" applyFill="1" applyBorder="1" applyAlignment="1">
      <alignment horizontal="left" vertical="center"/>
    </xf>
    <xf numFmtId="0" fontId="5" fillId="0" borderId="56" xfId="0" applyFont="1" applyBorder="1" applyAlignment="1">
      <alignment horizontal="left" vertical="center"/>
    </xf>
    <xf numFmtId="44" fontId="5" fillId="0" borderId="57" xfId="2" applyFont="1" applyFill="1" applyBorder="1" applyAlignment="1" applyProtection="1">
      <alignment horizontal="left" vertical="center"/>
    </xf>
    <xf numFmtId="1" fontId="5" fillId="0" borderId="57" xfId="0" applyNumberFormat="1" applyFont="1" applyBorder="1" applyAlignment="1">
      <alignment horizontal="center" vertical="center"/>
    </xf>
    <xf numFmtId="44" fontId="5" fillId="0" borderId="58" xfId="2" applyFont="1" applyFill="1" applyBorder="1" applyAlignment="1" applyProtection="1">
      <alignment horizontal="left" vertical="center"/>
    </xf>
    <xf numFmtId="0" fontId="5" fillId="0" borderId="59" xfId="0" applyFont="1" applyBorder="1" applyAlignment="1">
      <alignment horizontal="left" vertical="center"/>
    </xf>
    <xf numFmtId="44" fontId="5" fillId="0" borderId="60" xfId="2" applyFont="1" applyFill="1" applyBorder="1" applyAlignment="1" applyProtection="1">
      <alignment horizontal="left" vertical="center"/>
    </xf>
    <xf numFmtId="1" fontId="5" fillId="0" borderId="60" xfId="0" applyNumberFormat="1" applyFont="1" applyBorder="1" applyAlignment="1">
      <alignment horizontal="center" vertical="center"/>
    </xf>
    <xf numFmtId="44" fontId="5" fillId="0" borderId="61" xfId="2" applyFont="1" applyFill="1" applyBorder="1" applyAlignment="1" applyProtection="1">
      <alignment horizontal="left" vertical="center"/>
    </xf>
    <xf numFmtId="164" fontId="8" fillId="0" borderId="62" xfId="0" applyNumberFormat="1" applyFont="1" applyBorder="1" applyAlignment="1">
      <alignment horizontal="left"/>
    </xf>
    <xf numFmtId="44" fontId="8" fillId="0" borderId="63" xfId="2" applyFont="1" applyFill="1" applyBorder="1" applyAlignment="1" applyProtection="1">
      <alignment horizontal="left"/>
    </xf>
    <xf numFmtId="1" fontId="8" fillId="0" borderId="63" xfId="0" applyNumberFormat="1" applyFont="1" applyBorder="1" applyAlignment="1">
      <alignment horizontal="center"/>
    </xf>
    <xf numFmtId="44" fontId="8" fillId="0" borderId="64" xfId="2" applyFont="1" applyFill="1" applyBorder="1" applyAlignment="1" applyProtection="1">
      <alignment horizontal="left"/>
    </xf>
    <xf numFmtId="0" fontId="25" fillId="2" borderId="54" xfId="0" applyFont="1" applyFill="1" applyBorder="1" applyAlignment="1">
      <alignment horizontal="left" vertical="center"/>
    </xf>
    <xf numFmtId="9" fontId="5" fillId="0" borderId="46" xfId="3" applyFont="1" applyBorder="1" applyAlignment="1" applyProtection="1">
      <alignment horizontal="right" indent="1"/>
    </xf>
    <xf numFmtId="9" fontId="5" fillId="0" borderId="46" xfId="3" applyFont="1" applyBorder="1" applyAlignment="1" applyProtection="1">
      <alignment horizontal="right" vertical="center" indent="1"/>
    </xf>
    <xf numFmtId="0" fontId="10" fillId="2" borderId="42" xfId="0" applyFont="1" applyFill="1" applyBorder="1" applyAlignment="1">
      <alignment horizontal="left" vertical="center"/>
    </xf>
    <xf numFmtId="0" fontId="10" fillId="2" borderId="43" xfId="0" applyFont="1" applyFill="1" applyBorder="1" applyAlignment="1">
      <alignment horizontal="left" vertical="center"/>
    </xf>
    <xf numFmtId="0" fontId="10" fillId="2" borderId="44" xfId="0" applyFont="1" applyFill="1" applyBorder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21" fillId="8" borderId="46" xfId="0" applyFont="1" applyFill="1" applyBorder="1" applyAlignment="1">
      <alignment horizontal="right" vertical="center"/>
    </xf>
    <xf numFmtId="9" fontId="5" fillId="0" borderId="46" xfId="3" applyFont="1" applyBorder="1" applyAlignment="1" applyProtection="1">
      <alignment horizontal="right" vertical="center"/>
    </xf>
    <xf numFmtId="9" fontId="5" fillId="0" borderId="46" xfId="3" applyFont="1" applyBorder="1" applyAlignment="1" applyProtection="1">
      <alignment horizontal="right"/>
    </xf>
    <xf numFmtId="0" fontId="14" fillId="3" borderId="65" xfId="0" applyFont="1" applyFill="1" applyBorder="1" applyAlignment="1">
      <alignment horizontal="center"/>
    </xf>
    <xf numFmtId="0" fontId="14" fillId="3" borderId="66" xfId="0" applyFont="1" applyFill="1" applyBorder="1" applyAlignment="1">
      <alignment horizontal="center"/>
    </xf>
    <xf numFmtId="0" fontId="14" fillId="3" borderId="67" xfId="0" applyFont="1" applyFill="1" applyBorder="1" applyAlignment="1">
      <alignment horizontal="center"/>
    </xf>
    <xf numFmtId="0" fontId="11" fillId="5" borderId="29" xfId="0" applyFont="1" applyFill="1" applyBorder="1" applyAlignment="1">
      <alignment horizontal="left" vertical="center" indent="1"/>
    </xf>
    <xf numFmtId="0" fontId="11" fillId="5" borderId="37" xfId="0" applyFont="1" applyFill="1" applyBorder="1" applyAlignment="1">
      <alignment horizontal="left" vertical="center" indent="1"/>
    </xf>
    <xf numFmtId="0" fontId="11" fillId="5" borderId="25" xfId="0" applyFont="1" applyFill="1" applyBorder="1" applyAlignment="1">
      <alignment horizontal="left" vertical="center"/>
    </xf>
    <xf numFmtId="0" fontId="11" fillId="5" borderId="31" xfId="0" applyFont="1" applyFill="1" applyBorder="1" applyAlignment="1">
      <alignment horizontal="left" vertical="center"/>
    </xf>
    <xf numFmtId="0" fontId="11" fillId="5" borderId="26" xfId="0" applyFont="1" applyFill="1" applyBorder="1" applyAlignment="1">
      <alignment horizontal="left" vertical="center"/>
    </xf>
    <xf numFmtId="0" fontId="5" fillId="3" borderId="8" xfId="0" applyFont="1" applyFill="1" applyBorder="1" applyAlignment="1">
      <alignment horizontal="left" indent="1"/>
    </xf>
    <xf numFmtId="0" fontId="5" fillId="3" borderId="16" xfId="0" applyFont="1" applyFill="1" applyBorder="1" applyAlignment="1">
      <alignment horizontal="left" indent="1"/>
    </xf>
    <xf numFmtId="0" fontId="5" fillId="3" borderId="11" xfId="0" applyFont="1" applyFill="1" applyBorder="1" applyAlignment="1">
      <alignment horizontal="left" indent="1"/>
    </xf>
    <xf numFmtId="0" fontId="5" fillId="3" borderId="5" xfId="0" applyFont="1" applyFill="1" applyBorder="1" applyAlignment="1">
      <alignment horizontal="left" indent="1"/>
    </xf>
    <xf numFmtId="0" fontId="10" fillId="2" borderId="3" xfId="0" applyFont="1" applyFill="1" applyBorder="1" applyAlignment="1">
      <alignment horizontal="left" vertical="center"/>
    </xf>
    <xf numFmtId="0" fontId="10" fillId="2" borderId="4" xfId="0" applyFont="1" applyFill="1" applyBorder="1" applyAlignment="1">
      <alignment horizontal="left" vertical="center"/>
    </xf>
    <xf numFmtId="0" fontId="19" fillId="7" borderId="22" xfId="4" applyFont="1" applyBorder="1" applyAlignment="1" applyProtection="1">
      <alignment horizontal="center" vertical="center"/>
    </xf>
    <xf numFmtId="0" fontId="19" fillId="7" borderId="27" xfId="4" applyFont="1" applyBorder="1" applyAlignment="1" applyProtection="1">
      <alignment horizontal="center" vertical="center"/>
    </xf>
    <xf numFmtId="1" fontId="18" fillId="7" borderId="23" xfId="4" applyNumberFormat="1" applyFont="1" applyBorder="1" applyAlignment="1" applyProtection="1">
      <alignment horizontal="center" vertical="center"/>
      <protection locked="0"/>
    </xf>
    <xf numFmtId="1" fontId="18" fillId="7" borderId="28" xfId="4" applyNumberFormat="1" applyFont="1" applyBorder="1" applyAlignment="1" applyProtection="1">
      <alignment horizontal="center" vertical="center"/>
      <protection locked="0"/>
    </xf>
    <xf numFmtId="0" fontId="17" fillId="3" borderId="29" xfId="0" applyFont="1" applyFill="1" applyBorder="1" applyAlignment="1">
      <alignment horizontal="center"/>
    </xf>
    <xf numFmtId="0" fontId="17" fillId="3" borderId="30" xfId="0" applyFont="1" applyFill="1" applyBorder="1" applyAlignment="1">
      <alignment horizontal="center"/>
    </xf>
    <xf numFmtId="0" fontId="5" fillId="3" borderId="10" xfId="0" applyFont="1" applyFill="1" applyBorder="1" applyAlignment="1">
      <alignment horizontal="left" vertical="center" indent="1"/>
    </xf>
    <xf numFmtId="0" fontId="5" fillId="3" borderId="17" xfId="0" applyFont="1" applyFill="1" applyBorder="1" applyAlignment="1">
      <alignment horizontal="left" vertical="center" indent="1"/>
    </xf>
    <xf numFmtId="0" fontId="5" fillId="3" borderId="11" xfId="0" applyFont="1" applyFill="1" applyBorder="1" applyAlignment="1">
      <alignment horizontal="left" vertical="center" indent="1"/>
    </xf>
    <xf numFmtId="0" fontId="5" fillId="3" borderId="5" xfId="0" applyFont="1" applyFill="1" applyBorder="1" applyAlignment="1">
      <alignment horizontal="left" vertical="center" indent="1"/>
    </xf>
    <xf numFmtId="0" fontId="19" fillId="7" borderId="24" xfId="4" applyFont="1" applyBorder="1" applyAlignment="1" applyProtection="1">
      <alignment horizontal="center" vertical="center"/>
    </xf>
    <xf numFmtId="0" fontId="18" fillId="7" borderId="38" xfId="4" applyFont="1" applyBorder="1" applyAlignment="1" applyProtection="1">
      <alignment horizontal="center" vertical="center"/>
    </xf>
    <xf numFmtId="0" fontId="18" fillId="7" borderId="32" xfId="4" applyFont="1" applyBorder="1" applyAlignment="1" applyProtection="1">
      <alignment horizontal="center" vertical="center"/>
    </xf>
    <xf numFmtId="0" fontId="18" fillId="7" borderId="39" xfId="4" applyFont="1" applyBorder="1" applyAlignment="1" applyProtection="1">
      <alignment horizontal="center" vertical="center"/>
    </xf>
    <xf numFmtId="0" fontId="18" fillId="7" borderId="40" xfId="4" applyFont="1" applyBorder="1" applyAlignment="1" applyProtection="1">
      <alignment horizontal="center" vertical="center"/>
    </xf>
    <xf numFmtId="0" fontId="18" fillId="7" borderId="33" xfId="4" applyFont="1" applyBorder="1" applyAlignment="1" applyProtection="1">
      <alignment horizontal="center" vertical="center"/>
    </xf>
    <xf numFmtId="0" fontId="18" fillId="7" borderId="41" xfId="4" applyFont="1" applyBorder="1" applyAlignment="1" applyProtection="1">
      <alignment horizontal="center" vertical="center"/>
    </xf>
    <xf numFmtId="0" fontId="9" fillId="3" borderId="8" xfId="0" applyFont="1" applyFill="1" applyBorder="1" applyAlignment="1">
      <alignment horizontal="left" indent="25"/>
    </xf>
    <xf numFmtId="0" fontId="9" fillId="3" borderId="16" xfId="0" applyFont="1" applyFill="1" applyBorder="1" applyAlignment="1">
      <alignment horizontal="left" indent="25"/>
    </xf>
    <xf numFmtId="0" fontId="9" fillId="3" borderId="47" xfId="0" applyFont="1" applyFill="1" applyBorder="1" applyAlignment="1">
      <alignment horizontal="left" indent="25"/>
    </xf>
    <xf numFmtId="0" fontId="27" fillId="9" borderId="54" xfId="5" applyFont="1" applyFill="1" applyBorder="1" applyAlignment="1">
      <alignment horizontal="center" vertical="center"/>
    </xf>
    <xf numFmtId="0" fontId="27" fillId="9" borderId="55" xfId="5" applyFont="1" applyFill="1" applyBorder="1" applyAlignment="1">
      <alignment horizontal="center" vertical="center"/>
    </xf>
  </cellXfs>
  <cellStyles count="6">
    <cellStyle name="Moeda" xfId="2" builtinId="4"/>
    <cellStyle name="Neutro" xfId="4" builtinId="28"/>
    <cellStyle name="Normal" xfId="0" builtinId="0"/>
    <cellStyle name="Porcentagem" xfId="3" builtinId="5"/>
    <cellStyle name="Texto de Aviso" xfId="5" builtinId="11"/>
    <cellStyle name="Título 1" xfId="1" builtinId="16"/>
  </cellStyles>
  <dxfs count="95">
    <dxf>
      <font>
        <b/>
        <i val="0"/>
        <color theme="0"/>
      </font>
      <fill>
        <patternFill>
          <bgColor theme="0" tint="-0.499984740745262"/>
        </patternFill>
      </fill>
    </dxf>
    <dxf>
      <font>
        <b val="0"/>
        <i val="0"/>
        <color theme="1"/>
      </font>
      <fill>
        <patternFill>
          <bgColor theme="0" tint="-0.14996795556505021"/>
        </patternFill>
      </fill>
    </dxf>
    <dxf>
      <font>
        <b val="0"/>
        <i val="0"/>
        <color theme="1"/>
      </font>
      <fill>
        <patternFill>
          <bgColor theme="0" tint="-0.14996795556505021"/>
        </patternFill>
      </fill>
    </dxf>
    <dxf>
      <font>
        <b val="0"/>
        <i val="0"/>
        <color theme="1"/>
      </font>
      <fill>
        <patternFill>
          <bgColor theme="0" tint="-0.14996795556505021"/>
        </patternFill>
      </fill>
    </dxf>
    <dxf>
      <font>
        <b val="0"/>
        <i val="0"/>
        <color theme="1"/>
      </font>
      <fill>
        <patternFill>
          <bgColor theme="0" tint="-0.14996795556505021"/>
        </patternFill>
      </fill>
    </dxf>
    <dxf>
      <font>
        <b val="0"/>
        <i val="0"/>
        <color theme="1"/>
      </font>
      <fill>
        <patternFill>
          <bgColor theme="0" tint="-0.14996795556505021"/>
        </patternFill>
      </fill>
    </dxf>
    <dxf>
      <font>
        <b val="0"/>
        <i val="0"/>
        <color theme="1"/>
      </font>
      <fill>
        <patternFill>
          <bgColor theme="0" tint="-0.14996795556505021"/>
        </patternFill>
      </fill>
    </dxf>
    <dxf>
      <font>
        <b val="0"/>
        <i val="0"/>
        <color theme="1"/>
      </font>
      <fill>
        <patternFill>
          <bgColor theme="0" tint="-0.14996795556505021"/>
        </patternFill>
      </fill>
    </dxf>
    <dxf>
      <font>
        <b val="0"/>
        <i val="0"/>
        <color theme="1"/>
      </font>
      <fill>
        <patternFill>
          <bgColor theme="0" tint="-0.14996795556505021"/>
        </patternFill>
      </fill>
    </dxf>
    <dxf>
      <font>
        <b val="0"/>
        <i val="0"/>
        <color theme="1"/>
      </font>
      <fill>
        <patternFill>
          <bgColor theme="0" tint="-0.14996795556505021"/>
        </patternFill>
      </fill>
    </dxf>
    <dxf>
      <font>
        <b val="0"/>
        <i val="0"/>
        <color theme="1"/>
      </font>
      <fill>
        <patternFill>
          <bgColor theme="0" tint="-0.14996795556505021"/>
        </patternFill>
      </fill>
    </dxf>
    <dxf>
      <font>
        <b val="0"/>
        <i val="0"/>
        <color theme="1"/>
      </font>
      <fill>
        <patternFill>
          <bgColor theme="0" tint="-0.14996795556505021"/>
        </patternFill>
      </fill>
    </dxf>
    <dxf>
      <font>
        <b val="0"/>
        <i val="0"/>
        <color theme="1"/>
      </font>
      <fill>
        <patternFill>
          <bgColor theme="0" tint="-0.14996795556505021"/>
        </patternFill>
      </fill>
    </dxf>
    <dxf>
      <font>
        <b val="0"/>
        <i val="0"/>
        <color theme="1"/>
      </font>
      <fill>
        <patternFill>
          <bgColor theme="0" tint="-0.14996795556505021"/>
        </patternFill>
      </fill>
    </dxf>
    <dxf>
      <font>
        <b val="0"/>
        <i val="0"/>
        <color theme="1"/>
      </font>
      <fill>
        <patternFill>
          <bgColor theme="0" tint="-0.14996795556505021"/>
        </patternFill>
      </fill>
    </dxf>
    <dxf>
      <font>
        <b val="0"/>
        <i val="0"/>
        <color theme="1"/>
      </font>
      <fill>
        <patternFill>
          <bgColor theme="0" tint="-0.14996795556505021"/>
        </patternFill>
      </fill>
    </dxf>
    <dxf>
      <font>
        <b val="0"/>
        <i val="0"/>
        <color theme="1"/>
      </font>
      <fill>
        <patternFill>
          <bgColor theme="0" tint="-0.14996795556505021"/>
        </patternFill>
      </fill>
    </dxf>
    <dxf>
      <font>
        <b val="0"/>
        <i val="0"/>
        <color theme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theme="5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565F"/>
        </patternFill>
      </fill>
    </dxf>
    <dxf>
      <font>
        <b/>
        <i val="0"/>
        <color theme="0"/>
      </font>
      <fill>
        <patternFill>
          <bgColor theme="0" tint="-0.499984740745262"/>
        </patternFill>
      </fill>
    </dxf>
    <dxf>
      <font>
        <b val="0"/>
        <i val="0"/>
        <color theme="1"/>
      </font>
      <fill>
        <patternFill>
          <bgColor theme="0" tint="-0.14996795556505021"/>
        </patternFill>
      </fill>
    </dxf>
    <dxf>
      <font>
        <b val="0"/>
        <i val="0"/>
        <color theme="1"/>
      </font>
      <fill>
        <patternFill>
          <bgColor theme="0" tint="-0.14996795556505021"/>
        </patternFill>
      </fill>
    </dxf>
    <dxf>
      <font>
        <b val="0"/>
        <i val="0"/>
        <color theme="1"/>
      </font>
      <fill>
        <patternFill>
          <bgColor theme="0" tint="-0.14996795556505021"/>
        </patternFill>
      </fill>
    </dxf>
    <dxf>
      <font>
        <b val="0"/>
        <i val="0"/>
        <color theme="1"/>
      </font>
      <fill>
        <patternFill>
          <bgColor theme="0" tint="-0.14996795556505021"/>
        </patternFill>
      </fill>
    </dxf>
    <dxf>
      <font>
        <b val="0"/>
        <i val="0"/>
        <color theme="1"/>
      </font>
      <fill>
        <patternFill>
          <bgColor theme="0" tint="-0.14996795556505021"/>
        </patternFill>
      </fill>
    </dxf>
    <dxf>
      <font>
        <b val="0"/>
        <i val="0"/>
        <color theme="1"/>
      </font>
      <fill>
        <patternFill>
          <bgColor theme="0" tint="-0.14996795556505021"/>
        </patternFill>
      </fill>
    </dxf>
    <dxf>
      <font>
        <b val="0"/>
        <i val="0"/>
        <color theme="1"/>
      </font>
      <fill>
        <patternFill>
          <bgColor theme="0" tint="-0.14996795556505021"/>
        </patternFill>
      </fill>
    </dxf>
    <dxf>
      <font>
        <b val="0"/>
        <i val="0"/>
        <color theme="1"/>
      </font>
      <fill>
        <patternFill>
          <bgColor theme="0" tint="-0.14996795556505021"/>
        </patternFill>
      </fill>
    </dxf>
    <dxf>
      <font>
        <b val="0"/>
        <i val="0"/>
        <color theme="1"/>
      </font>
      <fill>
        <patternFill>
          <bgColor theme="0" tint="-0.14996795556505021"/>
        </patternFill>
      </fill>
    </dxf>
    <dxf>
      <font>
        <b val="0"/>
        <i val="0"/>
        <color theme="1"/>
      </font>
      <fill>
        <patternFill>
          <bgColor theme="0" tint="-0.14996795556505021"/>
        </patternFill>
      </fill>
    </dxf>
    <dxf>
      <font>
        <b val="0"/>
        <i val="0"/>
        <color theme="1"/>
      </font>
      <fill>
        <patternFill>
          <bgColor theme="0" tint="-0.14996795556505021"/>
        </patternFill>
      </fill>
    </dxf>
    <dxf>
      <font>
        <b val="0"/>
        <i val="0"/>
        <color theme="1"/>
      </font>
      <fill>
        <patternFill>
          <bgColor theme="0" tint="-0.14996795556505021"/>
        </patternFill>
      </fill>
    </dxf>
    <dxf>
      <font>
        <b val="0"/>
        <i val="0"/>
        <color theme="1"/>
      </font>
      <fill>
        <patternFill>
          <bgColor theme="0" tint="-0.14996795556505021"/>
        </patternFill>
      </fill>
    </dxf>
    <dxf>
      <font>
        <b val="0"/>
        <i val="0"/>
        <color theme="1"/>
      </font>
      <fill>
        <patternFill>
          <bgColor theme="0" tint="-0.14996795556505021"/>
        </patternFill>
      </fill>
    </dxf>
    <dxf>
      <font>
        <b val="0"/>
        <i val="0"/>
        <color theme="1"/>
      </font>
      <fill>
        <patternFill>
          <bgColor theme="0" tint="-0.14996795556505021"/>
        </patternFill>
      </fill>
    </dxf>
    <dxf>
      <font>
        <b val="0"/>
        <i val="0"/>
        <color theme="1"/>
      </font>
      <fill>
        <patternFill>
          <bgColor theme="0" tint="-0.14996795556505021"/>
        </patternFill>
      </fill>
    </dxf>
    <dxf>
      <font>
        <b val="0"/>
        <i val="0"/>
        <color theme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theme="5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565F"/>
        </patternFill>
      </fill>
    </dxf>
    <dxf>
      <font>
        <b/>
        <i val="0"/>
        <color theme="3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theme="0" tint="-0.499984740745262"/>
        </patternFill>
      </fill>
    </dxf>
    <dxf>
      <font>
        <b val="0"/>
        <i val="0"/>
        <color theme="1"/>
      </font>
      <fill>
        <patternFill>
          <bgColor theme="0" tint="-0.14996795556505021"/>
        </patternFill>
      </fill>
    </dxf>
    <dxf>
      <font>
        <b val="0"/>
        <i val="0"/>
        <color theme="1"/>
      </font>
      <fill>
        <patternFill>
          <bgColor theme="0" tint="-0.14996795556505021"/>
        </patternFill>
      </fill>
    </dxf>
    <dxf>
      <font>
        <b val="0"/>
        <i val="0"/>
        <color theme="1"/>
      </font>
      <fill>
        <patternFill>
          <bgColor theme="0" tint="-0.14996795556505021"/>
        </patternFill>
      </fill>
    </dxf>
    <dxf>
      <font>
        <b val="0"/>
        <i val="0"/>
        <color theme="1"/>
      </font>
      <fill>
        <patternFill>
          <bgColor theme="0" tint="-0.14996795556505021"/>
        </patternFill>
      </fill>
    </dxf>
    <dxf>
      <font>
        <b val="0"/>
        <i val="0"/>
        <color theme="1"/>
      </font>
      <fill>
        <patternFill>
          <bgColor theme="0" tint="-0.14996795556505021"/>
        </patternFill>
      </fill>
    </dxf>
    <dxf>
      <font>
        <b val="0"/>
        <i val="0"/>
        <color theme="1"/>
      </font>
      <fill>
        <patternFill>
          <bgColor theme="0" tint="-0.14996795556505021"/>
        </patternFill>
      </fill>
    </dxf>
    <dxf>
      <font>
        <b val="0"/>
        <i val="0"/>
        <color theme="1"/>
      </font>
      <fill>
        <patternFill>
          <bgColor theme="0" tint="-0.14996795556505021"/>
        </patternFill>
      </fill>
    </dxf>
    <dxf>
      <font>
        <b val="0"/>
        <i val="0"/>
        <color theme="1"/>
      </font>
      <fill>
        <patternFill>
          <bgColor theme="0" tint="-0.14996795556505021"/>
        </patternFill>
      </fill>
    </dxf>
    <dxf>
      <font>
        <b val="0"/>
        <i val="0"/>
        <color theme="1"/>
      </font>
      <fill>
        <patternFill>
          <bgColor theme="0" tint="-0.14996795556505021"/>
        </patternFill>
      </fill>
    </dxf>
    <dxf>
      <font>
        <b val="0"/>
        <i val="0"/>
        <color theme="1"/>
      </font>
      <fill>
        <patternFill>
          <bgColor theme="0" tint="-0.14996795556505021"/>
        </patternFill>
      </fill>
    </dxf>
    <dxf>
      <font>
        <b val="0"/>
        <i val="0"/>
        <color theme="1"/>
      </font>
      <fill>
        <patternFill>
          <bgColor theme="0" tint="-0.14996795556505021"/>
        </patternFill>
      </fill>
    </dxf>
    <dxf>
      <font>
        <b val="0"/>
        <i val="0"/>
        <color theme="1"/>
      </font>
      <fill>
        <patternFill>
          <bgColor theme="0" tint="-0.14996795556505021"/>
        </patternFill>
      </fill>
    </dxf>
    <dxf>
      <font>
        <b val="0"/>
        <i val="0"/>
        <color theme="1"/>
      </font>
      <fill>
        <patternFill>
          <bgColor theme="0" tint="-0.14996795556505021"/>
        </patternFill>
      </fill>
    </dxf>
    <dxf>
      <font>
        <b val="0"/>
        <i val="0"/>
        <color theme="1"/>
      </font>
      <fill>
        <patternFill>
          <bgColor theme="0" tint="-0.14996795556505021"/>
        </patternFill>
      </fill>
    </dxf>
    <dxf>
      <font>
        <b val="0"/>
        <i val="0"/>
        <color theme="1"/>
      </font>
      <fill>
        <patternFill>
          <bgColor theme="0" tint="-0.14996795556505021"/>
        </patternFill>
      </fill>
    </dxf>
    <dxf>
      <font>
        <b val="0"/>
        <i val="0"/>
        <color theme="1"/>
      </font>
      <fill>
        <patternFill>
          <bgColor theme="0" tint="-0.14996795556505021"/>
        </patternFill>
      </fill>
    </dxf>
    <dxf>
      <font>
        <b val="0"/>
        <i val="0"/>
        <color theme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theme="5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565F"/>
        </patternFill>
      </fill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65" formatCode="_-[$R$-416]\ * #,##0.00_-;\-[$R$-416]\ * #,##0.00_-;_-[$R$-416]\ * &quot;-&quot;??_-;_-@_-"/>
    </dxf>
    <dxf>
      <numFmt numFmtId="165" formatCode="_-[$R$-416]\ * #,##0.00_-;\-[$R$-416]\ * #,##0.00_-;_-[$R$-416]\ * &quot;-&quot;??_-;_-@_-"/>
    </dxf>
    <dxf>
      <border outline="0">
        <top style="medium">
          <color indexed="64"/>
        </top>
      </border>
    </dxf>
    <dxf>
      <border outline="0">
        <bottom style="medium">
          <color theme="0" tint="-0.149967955565050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egoe UI "/>
        <scheme val="none"/>
      </font>
      <fill>
        <patternFill patternType="solid">
          <fgColor indexed="64"/>
          <bgColor theme="0" tint="-0.34998626667073579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theme="0" tint="-0.14996795556505021"/>
        </left>
        <right style="medium">
          <color theme="0" tint="-0.14996795556505021"/>
        </right>
        <top/>
        <bottom/>
      </border>
    </dxf>
    <dxf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/>
        <bottom style="thick">
          <color indexed="64"/>
        </bottom>
        <vertical/>
        <horizontal/>
      </border>
    </dxf>
    <dxf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/>
        <bottom style="thick">
          <color indexed="64"/>
        </bottom>
        <vertical/>
        <horizontal/>
      </border>
    </dxf>
    <dxf>
      <numFmt numFmtId="165" formatCode="_-[$R$-416]\ * #,##0.00_-;\-[$R$-416]\ * #,##0.00_-;_-[$R$-416]\ * &quot;-&quot;??_-;_-@_-"/>
    </dxf>
    <dxf>
      <border diagonalUp="0" diagonalDown="0" outline="0">
        <left/>
        <right/>
        <top/>
        <bottom/>
      </border>
    </dxf>
    <dxf>
      <numFmt numFmtId="164" formatCode="&quot;R$&quot;\ #,##0.00"/>
      <border diagonalUp="0" diagonalDown="0">
        <left/>
        <right/>
        <top/>
        <bottom style="thick">
          <color indexed="64"/>
        </bottom>
        <vertical/>
        <horizontal/>
      </border>
    </dxf>
    <dxf>
      <numFmt numFmtId="164" formatCode="&quot;R$&quot;\ #,##0.00"/>
    </dxf>
    <dxf>
      <border diagonalUp="0" diagonalDown="0" outline="0">
        <left/>
        <right/>
        <top/>
        <bottom/>
      </border>
    </dxf>
    <dxf>
      <numFmt numFmtId="165" formatCode="_-[$R$-416]\ * #,##0.00_-;\-[$R$-416]\ * #,##0.00_-;_-[$R$-416]\ * &quot;-&quot;??_-;_-@_-"/>
      <border diagonalUp="0" diagonalDown="0">
        <left/>
        <right/>
        <top/>
        <bottom style="thick">
          <color indexed="64"/>
        </bottom>
        <vertical/>
        <horizontal/>
      </border>
    </dxf>
    <dxf>
      <numFmt numFmtId="165" formatCode="_-[$R$-416]\ * #,##0.00_-;\-[$R$-416]\ * #,##0.00_-;_-[$R$-416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/>
        <bottom style="thick">
          <color indexed="64"/>
        </bottom>
        <vertical/>
        <horizontal/>
      </border>
    </dxf>
    <dxf>
      <numFmt numFmtId="34" formatCode="_-&quot;R$&quot;\ * #,##0.00_-;\-&quot;R$&quot;\ * #,##0.00_-;_-&quot;R$&quot;\ * &quot;-&quot;??_-;_-@_-"/>
    </dxf>
    <dxf>
      <border outline="0">
        <bottom style="thick">
          <color indexed="64"/>
        </bottom>
      </border>
    </dxf>
    <dxf>
      <font>
        <sz val="14"/>
        <color theme="3"/>
      </font>
      <fill>
        <patternFill>
          <bgColor rgb="FFFFC000"/>
        </patternFill>
      </fill>
      <border>
        <left style="thin">
          <color theme="3"/>
        </left>
        <right style="thin">
          <color theme="3"/>
        </right>
        <top/>
        <bottom/>
      </border>
    </dxf>
    <dxf>
      <font>
        <b/>
        <i val="0"/>
        <sz val="10"/>
        <color theme="3"/>
      </font>
      <fill>
        <patternFill>
          <bgColor theme="3"/>
        </patternFill>
      </fill>
      <border>
        <left style="medium">
          <color theme="3"/>
        </left>
        <right style="medium">
          <color theme="3"/>
        </right>
        <top/>
        <bottom/>
      </border>
    </dxf>
  </dxfs>
  <tableStyles count="2" defaultTableStyle="TableStyleMedium2" defaultPivotStyle="PivotStyleLight16">
    <tableStyle name="Estilo de Segmentação de Dados 1" pivot="0" table="0" count="0" xr9:uid="{C4AD2B2E-4C1E-4FD3-AA2B-2BB40A64E497}"/>
    <tableStyle name="Estilo de Segmentação de Dados 2" pivot="0" table="0" count="4" xr9:uid="{C71C5BD9-36D7-4B25-8093-459E0774F3A2}">
      <tableStyleElement type="wholeTable" dxfId="94"/>
      <tableStyleElement type="headerRow" dxfId="93"/>
    </tableStyle>
  </tableStyles>
  <colors>
    <mruColors>
      <color rgb="FF005F73"/>
      <color rgb="FF1D7882"/>
      <color rgb="FF00565F"/>
      <color rgb="FF3F6461"/>
      <color rgb="FF9E935A"/>
      <color rgb="FF808000"/>
    </mruColors>
  </colors>
  <extLst>
    <ext xmlns:x14="http://schemas.microsoft.com/office/spreadsheetml/2009/9/main" uri="{46F421CA-312F-682f-3DD2-61675219B42D}">
      <x14:dxfs count="2">
        <dxf>
          <font>
            <b val="0"/>
            <i val="0"/>
            <sz val="10"/>
            <color theme="0" tint="-0.499984740745262"/>
          </font>
          <fill>
            <patternFill>
              <bgColor theme="0" tint="-0.24994659260841701"/>
            </patternFill>
          </fill>
        </dxf>
        <dxf>
          <font>
            <b/>
            <i val="0"/>
            <sz val="10"/>
            <color theme="3"/>
            <name val="Segoe UI"/>
            <family val="2"/>
            <scheme val="none"/>
          </font>
          <fill>
            <patternFill>
              <bgColor theme="0" tint="-0.24994659260841701"/>
            </patternFill>
          </fill>
          <border>
            <left/>
            <right/>
            <top/>
            <bottom/>
          </border>
        </dxf>
      </x14:dxfs>
    </ext>
    <ext xmlns:x14="http://schemas.microsoft.com/office/spreadsheetml/2009/9/main" uri="{EB79DEF2-80B8-43e5-95BD-54CBDDF9020C}">
      <x14:slicerStyles defaultSlicerStyle="Estilo de Segmentação de Dados 2">
        <x14:slicerStyle name="Estilo de Segmentação de Dados 1"/>
        <x14:slicerStyle name="Estilo de Segmentação de Dados 2">
          <x14:slicerStyleElements>
            <x14:slicerStyleElement type="selectedItemWithData" dxfId="1"/>
            <x14:slicerStyleElement type="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SupportingPropertyBagStructure" Target="richData/rdsupportingpropertybagstructure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ichStyles" Target="richData/richStyles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Structure" Target="richData/rdrichvaluestructure.xml"/><Relationship Id="rId5" Type="http://schemas.microsoft.com/office/2007/relationships/slicerCache" Target="slicerCaches/slicerCache1.xml"/><Relationship Id="rId15" Type="http://schemas.microsoft.com/office/2017/06/relationships/rdRichValueTypes" Target="richData/rdRichValueTypes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microsoft.com/office/2017/06/relationships/rdSupportingPropertyBag" Target="richData/rdsupportingpropertybag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1.1809883493070154E-2"/>
          <c:y val="8.0397988088605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6752900276047289"/>
          <c:y val="0.17526897113161208"/>
          <c:w val="0.80047099220015627"/>
          <c:h val="0.68886360938651814"/>
        </c:manualLayout>
      </c:layout>
      <c:pieChart>
        <c:varyColors val="1"/>
        <c:ser>
          <c:idx val="0"/>
          <c:order val="0"/>
          <c:tx>
            <c:strRef>
              <c:f>APP!$F$26</c:f>
              <c:strCache>
                <c:ptCount val="1"/>
              </c:strCache>
            </c:strRef>
          </c:tx>
          <c:explosion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32A-4F61-B70F-A4240C5DA94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232A-4F61-B70F-A4240C5DA94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32A-4F61-B70F-A4240C5DA94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232A-4F61-B70F-A4240C5DA94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32A-4F61-B70F-A4240C5DA94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52A5-4FCC-BD54-5D4AF297AEF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baseline="0">
                    <a:solidFill>
                      <a:schemeClr val="tx1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APP!$C$28:$C$33</c:f>
              <c:strCache>
                <c:ptCount val="6"/>
                <c:pt idx="0">
                  <c:v>PAPEL</c:v>
                </c:pt>
                <c:pt idx="1">
                  <c:v>TIJOLOS</c:v>
                </c:pt>
                <c:pt idx="2">
                  <c:v>HIBRIDOS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</c:v>
                </c:pt>
              </c:strCache>
            </c:strRef>
          </c:cat>
          <c:val>
            <c:numRef>
              <c:f>APP!$D$28:$D$33</c:f>
              <c:numCache>
                <c:formatCode>0%</c:formatCode>
                <c:ptCount val="6"/>
                <c:pt idx="0">
                  <c:v>0.25</c:v>
                </c:pt>
                <c:pt idx="1">
                  <c:v>0.25</c:v>
                </c:pt>
                <c:pt idx="2">
                  <c:v>0</c:v>
                </c:pt>
                <c:pt idx="3">
                  <c:v>0.5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2A-4F61-B70F-A4240C5DA945}"/>
            </c:ext>
          </c:extLst>
        </c:ser>
        <c:ser>
          <c:idx val="1"/>
          <c:order val="1"/>
          <c:tx>
            <c:strRef>
              <c:f>APP!$H$26</c:f>
              <c:strCache>
                <c:ptCount val="1"/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52A5-4FCC-BD54-5D4AF297AEF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52A5-4FCC-BD54-5D4AF297AEF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52A5-4FCC-BD54-5D4AF297AEF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52A5-4FCC-BD54-5D4AF297AEF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52A5-4FCC-BD54-5D4AF297AEF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52A5-4FCC-BD54-5D4AF297AEF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APP!$C$28:$C$33</c:f>
              <c:strCache>
                <c:ptCount val="6"/>
                <c:pt idx="0">
                  <c:v>PAPEL</c:v>
                </c:pt>
                <c:pt idx="1">
                  <c:v>TIJOLOS</c:v>
                </c:pt>
                <c:pt idx="2">
                  <c:v>HIBRIDOS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</c:v>
                </c:pt>
              </c:strCache>
            </c:strRef>
          </c:cat>
          <c:val>
            <c:numRef>
              <c:f>APP!$G$28:$G$33</c:f>
              <c:numCache>
                <c:formatCode>"R$"\ #,##0.00</c:formatCode>
                <c:ptCount val="6"/>
                <c:pt idx="0">
                  <c:v>113.85</c:v>
                </c:pt>
                <c:pt idx="1">
                  <c:v>113.85</c:v>
                </c:pt>
                <c:pt idx="2">
                  <c:v>0</c:v>
                </c:pt>
                <c:pt idx="3">
                  <c:v>227.7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2A-4F61-B70F-A4240C5DA9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pt-BR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pt-BR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pt-BR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pt-BR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pt-BR"/>
          </a:p>
        </c:txPr>
      </c:legendEntry>
      <c:legendEntry>
        <c:idx val="5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pt-BR"/>
          </a:p>
        </c:txPr>
      </c:legendEntry>
      <c:layout>
        <c:manualLayout>
          <c:xMode val="edge"/>
          <c:yMode val="edge"/>
          <c:x val="0"/>
          <c:y val="0.22560505122631913"/>
          <c:w val="0.19836049453094384"/>
          <c:h val="0.7079589770952833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75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CC07-4FD4-92C0-BBE980E4358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CC07-4FD4-92C0-BBE980E4358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CC07-4FD4-92C0-BBE980E4358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7-57AC-4A32-91FC-10A4AF9CA1B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57AC-4A32-91FC-10A4AF9CA1B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6-57AC-4A32-91FC-10A4AF9CA1B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D-CC07-4FD4-92C0-BBE980E4358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F-CC07-4FD4-92C0-BBE980E4358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1-CC07-4FD4-92C0-BBE980E4358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3-CC07-4FD4-92C0-BBE980E4358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5-CC07-4FD4-92C0-BBE980E43588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7-CC07-4FD4-92C0-BBE980E43588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9-CC07-4FD4-92C0-BBE980E43588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B-CC07-4FD4-92C0-BBE980E43588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D-CC07-4FD4-92C0-BBE980E43588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F-CC07-4FD4-92C0-BBE980E43588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1-CC07-4FD4-92C0-BBE980E43588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3-CC07-4FD4-92C0-BBE980E43588}"/>
              </c:ext>
            </c:extLst>
          </c:dPt>
          <c:dLbls>
            <c:dLbl>
              <c:idx val="3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7728739451512128E-2"/>
                      <c:h val="3.551087985715237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57AC-4A32-91FC-10A4AF9CA1B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baseline="0">
                    <a:solidFill>
                      <a:schemeClr val="tx1"/>
                    </a:solidFill>
                    <a:latin typeface="Segoe UI 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APP!$C$38:$C$55</c:f>
              <c:strCache>
                <c:ptCount val="18"/>
                <c:pt idx="0">
                  <c:v>BCFF11</c:v>
                </c:pt>
                <c:pt idx="1">
                  <c:v>BCRI11</c:v>
                </c:pt>
                <c:pt idx="2">
                  <c:v>BLMG11</c:v>
                </c:pt>
                <c:pt idx="3">
                  <c:v>CPSH11</c:v>
                </c:pt>
                <c:pt idx="4">
                  <c:v>CPTS11</c:v>
                </c:pt>
                <c:pt idx="5">
                  <c:v>FIVN11</c:v>
                </c:pt>
                <c:pt idx="6">
                  <c:v>GZIT11</c:v>
                </c:pt>
                <c:pt idx="7">
                  <c:v>HCTR11</c:v>
                </c:pt>
                <c:pt idx="8">
                  <c:v>HFOF11</c:v>
                </c:pt>
                <c:pt idx="9">
                  <c:v>HGRE11</c:v>
                </c:pt>
                <c:pt idx="10">
                  <c:v>HTMX11</c:v>
                </c:pt>
                <c:pt idx="11">
                  <c:v>KIVO11</c:v>
                </c:pt>
                <c:pt idx="12">
                  <c:v>PVBI11</c:v>
                </c:pt>
                <c:pt idx="13">
                  <c:v>RELG11</c:v>
                </c:pt>
                <c:pt idx="14">
                  <c:v>RZTR11</c:v>
                </c:pt>
                <c:pt idx="15">
                  <c:v>SNFF11</c:v>
                </c:pt>
                <c:pt idx="16">
                  <c:v>XPML11</c:v>
                </c:pt>
                <c:pt idx="17">
                  <c:v>Total</c:v>
                </c:pt>
              </c:strCache>
            </c:strRef>
          </c:cat>
          <c:val>
            <c:numRef>
              <c:f>APP!$D$38:$D$55</c:f>
              <c:numCache>
                <c:formatCode>_("R$"* #,##0.00_);_("R$"* \(#,##0.00\);_("R$"* "-"??_);_(@_)</c:formatCode>
                <c:ptCount val="18"/>
                <c:pt idx="0">
                  <c:v>0</c:v>
                </c:pt>
                <c:pt idx="1">
                  <c:v>22.77</c:v>
                </c:pt>
                <c:pt idx="2">
                  <c:v>16.264285714285712</c:v>
                </c:pt>
                <c:pt idx="3">
                  <c:v>16.264285714285712</c:v>
                </c:pt>
                <c:pt idx="4">
                  <c:v>22.77</c:v>
                </c:pt>
                <c:pt idx="5">
                  <c:v>0</c:v>
                </c:pt>
                <c:pt idx="6">
                  <c:v>16.264285714285712</c:v>
                </c:pt>
                <c:pt idx="7">
                  <c:v>22.77</c:v>
                </c:pt>
                <c:pt idx="8">
                  <c:v>113.85</c:v>
                </c:pt>
                <c:pt idx="9">
                  <c:v>16.264285714285712</c:v>
                </c:pt>
                <c:pt idx="10">
                  <c:v>0</c:v>
                </c:pt>
                <c:pt idx="11">
                  <c:v>22.77</c:v>
                </c:pt>
                <c:pt idx="12">
                  <c:v>16.264285714285712</c:v>
                </c:pt>
                <c:pt idx="13">
                  <c:v>16.264285714285712</c:v>
                </c:pt>
                <c:pt idx="14">
                  <c:v>22.77</c:v>
                </c:pt>
                <c:pt idx="15">
                  <c:v>113.85</c:v>
                </c:pt>
                <c:pt idx="16">
                  <c:v>16.264285714285712</c:v>
                </c:pt>
                <c:pt idx="17">
                  <c:v>455.4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AC-4A32-91FC-10A4AF9CA1B1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B-57AC-4A32-91FC-10A4AF9CA1B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A-57AC-4A32-91FC-10A4AF9CA1B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9-57AC-4A32-91FC-10A4AF9CA1B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8-57AC-4A32-91FC-10A4AF9CA1B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D-57AC-4A32-91FC-10A4AF9CA1B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C-57AC-4A32-91FC-10A4AF9CA1B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31-CC07-4FD4-92C0-BBE980E4358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33-CC07-4FD4-92C0-BBE980E4358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35-CC07-4FD4-92C0-BBE980E4358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37-CC07-4FD4-92C0-BBE980E4358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39-CC07-4FD4-92C0-BBE980E43588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3B-CC07-4FD4-92C0-BBE980E43588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3D-CC07-4FD4-92C0-BBE980E43588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3F-CC07-4FD4-92C0-BBE980E43588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41-CC07-4FD4-92C0-BBE980E43588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43-CC07-4FD4-92C0-BBE980E43588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45-CC07-4FD4-92C0-BBE980E43588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47-CC07-4FD4-92C0-BBE980E4358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baseline="0">
                    <a:solidFill>
                      <a:schemeClr val="tx1"/>
                    </a:solidFill>
                    <a:latin typeface="Segoe UI 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APP!$C$38:$C$55</c:f>
              <c:strCache>
                <c:ptCount val="18"/>
                <c:pt idx="0">
                  <c:v>BCFF11</c:v>
                </c:pt>
                <c:pt idx="1">
                  <c:v>BCRI11</c:v>
                </c:pt>
                <c:pt idx="2">
                  <c:v>BLMG11</c:v>
                </c:pt>
                <c:pt idx="3">
                  <c:v>CPSH11</c:v>
                </c:pt>
                <c:pt idx="4">
                  <c:v>CPTS11</c:v>
                </c:pt>
                <c:pt idx="5">
                  <c:v>FIVN11</c:v>
                </c:pt>
                <c:pt idx="6">
                  <c:v>GZIT11</c:v>
                </c:pt>
                <c:pt idx="7">
                  <c:v>HCTR11</c:v>
                </c:pt>
                <c:pt idx="8">
                  <c:v>HFOF11</c:v>
                </c:pt>
                <c:pt idx="9">
                  <c:v>HGRE11</c:v>
                </c:pt>
                <c:pt idx="10">
                  <c:v>HTMX11</c:v>
                </c:pt>
                <c:pt idx="11">
                  <c:v>KIVO11</c:v>
                </c:pt>
                <c:pt idx="12">
                  <c:v>PVBI11</c:v>
                </c:pt>
                <c:pt idx="13">
                  <c:v>RELG11</c:v>
                </c:pt>
                <c:pt idx="14">
                  <c:v>RZTR11</c:v>
                </c:pt>
                <c:pt idx="15">
                  <c:v>SNFF11</c:v>
                </c:pt>
                <c:pt idx="16">
                  <c:v>XPML11</c:v>
                </c:pt>
                <c:pt idx="17">
                  <c:v>Total</c:v>
                </c:pt>
              </c:strCache>
            </c:strRef>
          </c:cat>
          <c:val>
            <c:numRef>
              <c:f>APP!$E$38:$E$55</c:f>
              <c:numCache>
                <c:formatCode>_("R$"* #,##0.00_);_("R$"* \(#,##0.00\);_("R$"* "-"??_);_(@_)</c:formatCode>
                <c:ptCount val="18"/>
                <c:pt idx="0">
                  <c:v>48.8215</c:v>
                </c:pt>
                <c:pt idx="1">
                  <c:v>68.400000000000006</c:v>
                </c:pt>
                <c:pt idx="2">
                  <c:v>34.4</c:v>
                </c:pt>
                <c:pt idx="3">
                  <c:v>11.04</c:v>
                </c:pt>
                <c:pt idx="4">
                  <c:v>7.7</c:v>
                </c:pt>
                <c:pt idx="5">
                  <c:v>3.14</c:v>
                </c:pt>
                <c:pt idx="6">
                  <c:v>45.1</c:v>
                </c:pt>
                <c:pt idx="7">
                  <c:v>41.3</c:v>
                </c:pt>
                <c:pt idx="8">
                  <c:v>6.57</c:v>
                </c:pt>
                <c:pt idx="9">
                  <c:v>126.2</c:v>
                </c:pt>
                <c:pt idx="10">
                  <c:v>149.75</c:v>
                </c:pt>
                <c:pt idx="11">
                  <c:v>64.849999999999994</c:v>
                </c:pt>
                <c:pt idx="12">
                  <c:v>82.11</c:v>
                </c:pt>
                <c:pt idx="13">
                  <c:v>65.97</c:v>
                </c:pt>
                <c:pt idx="14">
                  <c:v>98.17</c:v>
                </c:pt>
                <c:pt idx="15">
                  <c:v>152.26</c:v>
                </c:pt>
                <c:pt idx="16">
                  <c:v>108.07</c:v>
                </c:pt>
                <c:pt idx="17">
                  <c:v>1113.8515000000002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AC-4A32-91FC-10A4AF9CA1B1}"/>
            </c:ext>
          </c:extLst>
        </c:ser>
        <c:ser>
          <c:idx val="2"/>
          <c:order val="2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49-CC07-4FD4-92C0-BBE980E4358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4B-CC07-4FD4-92C0-BBE980E4358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4D-CC07-4FD4-92C0-BBE980E4358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4F-CC07-4FD4-92C0-BBE980E4358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51-CC07-4FD4-92C0-BBE980E4358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53-CC07-4FD4-92C0-BBE980E4358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55-CC07-4FD4-92C0-BBE980E4358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57-CC07-4FD4-92C0-BBE980E4358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59-CC07-4FD4-92C0-BBE980E4358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5B-CC07-4FD4-92C0-BBE980E4358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5D-CC07-4FD4-92C0-BBE980E43588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5F-CC07-4FD4-92C0-BBE980E43588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61-CC07-4FD4-92C0-BBE980E43588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63-CC07-4FD4-92C0-BBE980E43588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65-CC07-4FD4-92C0-BBE980E43588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67-CC07-4FD4-92C0-BBE980E43588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69-CC07-4FD4-92C0-BBE980E43588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6B-CC07-4FD4-92C0-BBE980E4358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baseline="0">
                    <a:solidFill>
                      <a:schemeClr val="lt1"/>
                    </a:solidFill>
                    <a:latin typeface="Segoe UI 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APP!$C$38:$C$55</c:f>
              <c:strCache>
                <c:ptCount val="18"/>
                <c:pt idx="0">
                  <c:v>BCFF11</c:v>
                </c:pt>
                <c:pt idx="1">
                  <c:v>BCRI11</c:v>
                </c:pt>
                <c:pt idx="2">
                  <c:v>BLMG11</c:v>
                </c:pt>
                <c:pt idx="3">
                  <c:v>CPSH11</c:v>
                </c:pt>
                <c:pt idx="4">
                  <c:v>CPTS11</c:v>
                </c:pt>
                <c:pt idx="5">
                  <c:v>FIVN11</c:v>
                </c:pt>
                <c:pt idx="6">
                  <c:v>GZIT11</c:v>
                </c:pt>
                <c:pt idx="7">
                  <c:v>HCTR11</c:v>
                </c:pt>
                <c:pt idx="8">
                  <c:v>HFOF11</c:v>
                </c:pt>
                <c:pt idx="9">
                  <c:v>HGRE11</c:v>
                </c:pt>
                <c:pt idx="10">
                  <c:v>HTMX11</c:v>
                </c:pt>
                <c:pt idx="11">
                  <c:v>KIVO11</c:v>
                </c:pt>
                <c:pt idx="12">
                  <c:v>PVBI11</c:v>
                </c:pt>
                <c:pt idx="13">
                  <c:v>RELG11</c:v>
                </c:pt>
                <c:pt idx="14">
                  <c:v>RZTR11</c:v>
                </c:pt>
                <c:pt idx="15">
                  <c:v>SNFF11</c:v>
                </c:pt>
                <c:pt idx="16">
                  <c:v>XPML11</c:v>
                </c:pt>
                <c:pt idx="17">
                  <c:v>Total</c:v>
                </c:pt>
              </c:strCache>
            </c:strRef>
          </c:cat>
          <c:val>
            <c:numRef>
              <c:f>APP!$F$38:$F$55</c:f>
              <c:numCache>
                <c:formatCode>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AC-4A32-91FC-10A4AF9CA1B1}"/>
            </c:ext>
          </c:extLst>
        </c:ser>
        <c:ser>
          <c:idx val="3"/>
          <c:order val="3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6D-CC07-4FD4-92C0-BBE980E4358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6F-CC07-4FD4-92C0-BBE980E4358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71-CC07-4FD4-92C0-BBE980E4358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73-CC07-4FD4-92C0-BBE980E4358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75-CC07-4FD4-92C0-BBE980E4358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77-CC07-4FD4-92C0-BBE980E4358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79-CC07-4FD4-92C0-BBE980E4358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7B-CC07-4FD4-92C0-BBE980E4358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7D-CC07-4FD4-92C0-BBE980E4358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7F-CC07-4FD4-92C0-BBE980E4358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81-CC07-4FD4-92C0-BBE980E43588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83-CC07-4FD4-92C0-BBE980E43588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85-CC07-4FD4-92C0-BBE980E43588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87-CC07-4FD4-92C0-BBE980E43588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89-CC07-4FD4-92C0-BBE980E43588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8B-CC07-4FD4-92C0-BBE980E43588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8D-CC07-4FD4-92C0-BBE980E43588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8F-CC07-4FD4-92C0-BBE980E4358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baseline="0">
                    <a:solidFill>
                      <a:schemeClr val="lt1"/>
                    </a:solidFill>
                    <a:latin typeface="Segoe UI 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APP!$C$38:$C$55</c:f>
              <c:strCache>
                <c:ptCount val="18"/>
                <c:pt idx="0">
                  <c:v>BCFF11</c:v>
                </c:pt>
                <c:pt idx="1">
                  <c:v>BCRI11</c:v>
                </c:pt>
                <c:pt idx="2">
                  <c:v>BLMG11</c:v>
                </c:pt>
                <c:pt idx="3">
                  <c:v>CPSH11</c:v>
                </c:pt>
                <c:pt idx="4">
                  <c:v>CPTS11</c:v>
                </c:pt>
                <c:pt idx="5">
                  <c:v>FIVN11</c:v>
                </c:pt>
                <c:pt idx="6">
                  <c:v>GZIT11</c:v>
                </c:pt>
                <c:pt idx="7">
                  <c:v>HCTR11</c:v>
                </c:pt>
                <c:pt idx="8">
                  <c:v>HFOF11</c:v>
                </c:pt>
                <c:pt idx="9">
                  <c:v>HGRE11</c:v>
                </c:pt>
                <c:pt idx="10">
                  <c:v>HTMX11</c:v>
                </c:pt>
                <c:pt idx="11">
                  <c:v>KIVO11</c:v>
                </c:pt>
                <c:pt idx="12">
                  <c:v>PVBI11</c:v>
                </c:pt>
                <c:pt idx="13">
                  <c:v>RELG11</c:v>
                </c:pt>
                <c:pt idx="14">
                  <c:v>RZTR11</c:v>
                </c:pt>
                <c:pt idx="15">
                  <c:v>SNFF11</c:v>
                </c:pt>
                <c:pt idx="16">
                  <c:v>XPML11</c:v>
                </c:pt>
                <c:pt idx="17">
                  <c:v>Total</c:v>
                </c:pt>
              </c:strCache>
            </c:strRef>
          </c:cat>
          <c:val>
            <c:numRef>
              <c:f>APP!$G$38:$G$55</c:f>
              <c:numCache>
                <c:formatCode>_("R$"* #,##0.00_);_("R$"* \(#,##0.00\);_("R$"* "-"??_);_(@_)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0.1104</c:v>
                </c:pt>
                <c:pt idx="4">
                  <c:v>0.154</c:v>
                </c:pt>
                <c:pt idx="5">
                  <c:v>0</c:v>
                </c:pt>
                <c:pt idx="6">
                  <c:v>0</c:v>
                </c:pt>
                <c:pt idx="7">
                  <c:v>0.20649999999999999</c:v>
                </c:pt>
                <c:pt idx="8">
                  <c:v>1.1169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0.76129999999999998</c:v>
                </c:pt>
                <c:pt idx="16">
                  <c:v>0</c:v>
                </c:pt>
                <c:pt idx="17">
                  <c:v>2.3491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7AC-4A32-91FC-10A4AF9CA1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100" b="1">
          <a:latin typeface="Segoe UI 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.xml"/><Relationship Id="rId13" Type="http://schemas.openxmlformats.org/officeDocument/2006/relationships/image" Target="../media/image11.svg"/><Relationship Id="rId3" Type="http://schemas.openxmlformats.org/officeDocument/2006/relationships/image" Target="../media/image3.svg"/><Relationship Id="rId7" Type="http://schemas.openxmlformats.org/officeDocument/2006/relationships/image" Target="../media/image7.svg"/><Relationship Id="rId12" Type="http://schemas.openxmlformats.org/officeDocument/2006/relationships/image" Target="../media/image10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chart" Target="../charts/chart2.xml"/><Relationship Id="rId5" Type="http://schemas.openxmlformats.org/officeDocument/2006/relationships/image" Target="../media/image5.svg"/><Relationship Id="rId10" Type="http://schemas.openxmlformats.org/officeDocument/2006/relationships/image" Target="../media/image9.svg"/><Relationship Id="rId4" Type="http://schemas.openxmlformats.org/officeDocument/2006/relationships/image" Target="../media/image4.png"/><Relationship Id="rId9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214207</xdr:colOff>
      <xdr:row>0</xdr:row>
      <xdr:rowOff>38100</xdr:rowOff>
    </xdr:from>
    <xdr:to>
      <xdr:col>4</xdr:col>
      <xdr:colOff>1070838</xdr:colOff>
      <xdr:row>0</xdr:row>
      <xdr:rowOff>969241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2EE3DDD-290B-2F0A-4A9F-A187B378A2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680" y="38100"/>
          <a:ext cx="4053840" cy="931141"/>
        </a:xfrm>
        <a:prstGeom prst="rect">
          <a:avLst/>
        </a:prstGeom>
      </xdr:spPr>
    </xdr:pic>
    <xdr:clientData/>
  </xdr:twoCellAnchor>
  <xdr:twoCellAnchor>
    <xdr:from>
      <xdr:col>1</xdr:col>
      <xdr:colOff>15240</xdr:colOff>
      <xdr:row>0</xdr:row>
      <xdr:rowOff>1005840</xdr:rowOff>
    </xdr:from>
    <xdr:to>
      <xdr:col>18</xdr:col>
      <xdr:colOff>603250</xdr:colOff>
      <xdr:row>0</xdr:row>
      <xdr:rowOff>1051559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2CF60941-5E35-33A2-FD08-5A06612FF515}"/>
            </a:ext>
          </a:extLst>
        </xdr:cNvPr>
        <xdr:cNvSpPr/>
      </xdr:nvSpPr>
      <xdr:spPr>
        <a:xfrm>
          <a:off x="626428" y="1005840"/>
          <a:ext cx="10930572" cy="45719"/>
        </a:xfrm>
        <a:prstGeom prst="rect">
          <a:avLst/>
        </a:prstGeom>
        <a:solidFill>
          <a:schemeClr val="bg1"/>
        </a:solidFill>
        <a:ln w="3175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13</xdr:col>
      <xdr:colOff>438714</xdr:colOff>
      <xdr:row>0</xdr:row>
      <xdr:rowOff>513816</xdr:rowOff>
    </xdr:from>
    <xdr:ext cx="4256550" cy="501740"/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EC56ABDC-2D3C-306F-0563-AF3A8E5FCA32}"/>
            </a:ext>
          </a:extLst>
        </xdr:cNvPr>
        <xdr:cNvSpPr/>
      </xdr:nvSpPr>
      <xdr:spPr>
        <a:xfrm>
          <a:off x="10840014" y="513816"/>
          <a:ext cx="4256550" cy="50174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pt-BR" sz="2400" b="1" i="1" cap="none" spc="50">
              <a:ln w="9525" cmpd="sng">
                <a:solidFill>
                  <a:schemeClr val="accent1"/>
                </a:solidFill>
                <a:prstDash val="solid"/>
              </a:ln>
              <a:solidFill>
                <a:srgbClr val="70AD47">
                  <a:tint val="1000"/>
                </a:srgbClr>
              </a:solidFill>
              <a:effectLst>
                <a:glow rad="38100">
                  <a:schemeClr val="accent1">
                    <a:alpha val="40000"/>
                  </a:schemeClr>
                </a:glow>
              </a:effectLst>
              <a:latin typeface="Segoe UI "/>
              <a:cs typeface="Segoe UI Light" panose="020B0502040204020203" pitchFamily="34" charset="0"/>
            </a:rPr>
            <a:t>Simulador de Investimento</a:t>
          </a:r>
        </a:p>
      </xdr:txBody>
    </xdr:sp>
    <xdr:clientData/>
  </xdr:oneCellAnchor>
  <xdr:twoCellAnchor editAs="oneCell">
    <xdr:from>
      <xdr:col>17</xdr:col>
      <xdr:colOff>1062250</xdr:colOff>
      <xdr:row>0</xdr:row>
      <xdr:rowOff>587057</xdr:rowOff>
    </xdr:from>
    <xdr:to>
      <xdr:col>19</xdr:col>
      <xdr:colOff>824</xdr:colOff>
      <xdr:row>0</xdr:row>
      <xdr:rowOff>983297</xdr:rowOff>
    </xdr:to>
    <xdr:pic>
      <xdr:nvPicPr>
        <xdr:cNvPr id="7" name="Gráfico 6" descr="Calculadora com preenchimento sólido">
          <a:extLst>
            <a:ext uri="{FF2B5EF4-FFF2-40B4-BE49-F238E27FC236}">
              <a16:creationId xmlns:a16="http://schemas.microsoft.com/office/drawing/2014/main" id="{CB543CC7-0CB3-64C7-1D67-F5B02F0149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4354917" y="587057"/>
          <a:ext cx="397828" cy="396240"/>
        </a:xfrm>
        <a:prstGeom prst="rect">
          <a:avLst/>
        </a:prstGeom>
      </xdr:spPr>
    </xdr:pic>
    <xdr:clientData/>
  </xdr:twoCellAnchor>
  <xdr:twoCellAnchor editAs="oneCell">
    <xdr:from>
      <xdr:col>1</xdr:col>
      <xdr:colOff>63500</xdr:colOff>
      <xdr:row>0</xdr:row>
      <xdr:rowOff>1119187</xdr:rowOff>
    </xdr:from>
    <xdr:to>
      <xdr:col>2</xdr:col>
      <xdr:colOff>460377</xdr:colOff>
      <xdr:row>3</xdr:row>
      <xdr:rowOff>41707</xdr:rowOff>
    </xdr:to>
    <xdr:pic>
      <xdr:nvPicPr>
        <xdr:cNvPr id="11" name="Gráfico 10" descr="Configurações com preenchimento sólido">
          <a:extLst>
            <a:ext uri="{FF2B5EF4-FFF2-40B4-BE49-F238E27FC236}">
              <a16:creationId xmlns:a16="http://schemas.microsoft.com/office/drawing/2014/main" id="{DA4DB202-F3A4-38F5-43B9-F9FCDFFD9D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674688" y="1119187"/>
          <a:ext cx="500063" cy="390958"/>
        </a:xfrm>
        <a:prstGeom prst="rect">
          <a:avLst/>
        </a:prstGeom>
      </xdr:spPr>
    </xdr:pic>
    <xdr:clientData/>
  </xdr:twoCellAnchor>
  <xdr:twoCellAnchor editAs="oneCell">
    <xdr:from>
      <xdr:col>2</xdr:col>
      <xdr:colOff>7938</xdr:colOff>
      <xdr:row>9</xdr:row>
      <xdr:rowOff>55563</xdr:rowOff>
    </xdr:from>
    <xdr:to>
      <xdr:col>2</xdr:col>
      <xdr:colOff>388938</xdr:colOff>
      <xdr:row>12</xdr:row>
      <xdr:rowOff>47626</xdr:rowOff>
    </xdr:to>
    <xdr:pic>
      <xdr:nvPicPr>
        <xdr:cNvPr id="13" name="Gráfico 12" descr="Cofrinho com preenchimento sólido">
          <a:extLst>
            <a:ext uri="{FF2B5EF4-FFF2-40B4-BE49-F238E27FC236}">
              <a16:creationId xmlns:a16="http://schemas.microsoft.com/office/drawing/2014/main" id="{F6A56A28-B300-9D9A-45B5-597BDDCC88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722313" y="2968626"/>
          <a:ext cx="381000" cy="381000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21</xdr:row>
      <xdr:rowOff>222250</xdr:rowOff>
    </xdr:from>
    <xdr:to>
      <xdr:col>19</xdr:col>
      <xdr:colOff>46470</xdr:colOff>
      <xdr:row>35</xdr:row>
      <xdr:rowOff>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9CA8E507-3CF8-2873-40FA-7E020E842F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2</xdr:col>
      <xdr:colOff>7938</xdr:colOff>
      <xdr:row>21</xdr:row>
      <xdr:rowOff>7936</xdr:rowOff>
    </xdr:from>
    <xdr:to>
      <xdr:col>2</xdr:col>
      <xdr:colOff>365125</xdr:colOff>
      <xdr:row>22</xdr:row>
      <xdr:rowOff>0</xdr:rowOff>
    </xdr:to>
    <xdr:pic>
      <xdr:nvPicPr>
        <xdr:cNvPr id="14" name="Gráfico 13" descr="Banco com preenchimento sólido">
          <a:extLst>
            <a:ext uri="{FF2B5EF4-FFF2-40B4-BE49-F238E27FC236}">
              <a16:creationId xmlns:a16="http://schemas.microsoft.com/office/drawing/2014/main" id="{1FCE21E2-004A-9EC1-C51E-F928941D40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722313" y="5119686"/>
          <a:ext cx="357187" cy="293689"/>
        </a:xfrm>
        <a:prstGeom prst="rect">
          <a:avLst/>
        </a:prstGeom>
      </xdr:spPr>
    </xdr:pic>
    <xdr:clientData/>
  </xdr:twoCellAnchor>
  <xdr:twoCellAnchor editAs="absolute">
    <xdr:from>
      <xdr:col>7</xdr:col>
      <xdr:colOff>13550</xdr:colOff>
      <xdr:row>34</xdr:row>
      <xdr:rowOff>187111</xdr:rowOff>
    </xdr:from>
    <xdr:to>
      <xdr:col>12</xdr:col>
      <xdr:colOff>481541</xdr:colOff>
      <xdr:row>55</xdr:row>
      <xdr:rowOff>8466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2" name="CATEGORIA 1">
              <a:extLst>
                <a:ext uri="{FF2B5EF4-FFF2-40B4-BE49-F238E27FC236}">
                  <a16:creationId xmlns:a16="http://schemas.microsoft.com/office/drawing/2014/main" id="{B4446AAA-A518-420F-961B-FCD8A97F5CA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IA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006083" y="8018778"/>
              <a:ext cx="1856525" cy="40885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>
    <xdr:from>
      <xdr:col>13</xdr:col>
      <xdr:colOff>33867</xdr:colOff>
      <xdr:row>35</xdr:row>
      <xdr:rowOff>67733</xdr:rowOff>
    </xdr:from>
    <xdr:to>
      <xdr:col>17</xdr:col>
      <xdr:colOff>1250674</xdr:colOff>
      <xdr:row>56</xdr:row>
      <xdr:rowOff>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BF81B53D-E761-EFEA-A9DA-A9551010DD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10</xdr:col>
      <xdr:colOff>0</xdr:colOff>
      <xdr:row>45</xdr:row>
      <xdr:rowOff>133350</xdr:rowOff>
    </xdr:from>
    <xdr:to>
      <xdr:col>12</xdr:col>
      <xdr:colOff>375608</xdr:colOff>
      <xdr:row>54</xdr:row>
      <xdr:rowOff>57150</xdr:rowOff>
    </xdr:to>
    <xdr:pic>
      <xdr:nvPicPr>
        <xdr:cNvPr id="9" name="Gráfico 8" descr="Banco estrutura de tópicos">
          <a:extLst>
            <a:ext uri="{FF2B5EF4-FFF2-40B4-BE49-F238E27FC236}">
              <a16:creationId xmlns:a16="http://schemas.microsoft.com/office/drawing/2014/main" id="{29DAC75D-D0FD-BFF6-94FB-A88EDFA678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96DAC541-7B7A-43D3-8B79-37D633B846F1}">
              <asvg:svgBlip xmlns:asvg="http://schemas.microsoft.com/office/drawing/2016/SVG/main" r:embed="rId13"/>
            </a:ext>
          </a:extLst>
        </a:blip>
        <a:stretch>
          <a:fillRect/>
        </a:stretch>
      </xdr:blipFill>
      <xdr:spPr>
        <a:xfrm>
          <a:off x="8096250" y="10239375"/>
          <a:ext cx="1661483" cy="16383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228600</xdr:colOff>
      <xdr:row>0</xdr:row>
      <xdr:rowOff>60960</xdr:rowOff>
    </xdr:from>
    <xdr:to>
      <xdr:col>9</xdr:col>
      <xdr:colOff>960120</xdr:colOff>
      <xdr:row>6</xdr:row>
      <xdr:rowOff>15239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" name="CATEGORIA">
              <a:extLst>
                <a:ext uri="{FF2B5EF4-FFF2-40B4-BE49-F238E27FC236}">
                  <a16:creationId xmlns:a16="http://schemas.microsoft.com/office/drawing/2014/main" id="{15FC1719-F5AC-8F47-5DD0-193C0FBA1BB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I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42020" y="60960"/>
              <a:ext cx="2560320" cy="109727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linkedentity">
      <keyFlags>
        <key name="%cvi">
          <flag name="ShowInCardView" value="0"/>
          <flag name="ShowInDotNotation" value="0"/>
          <flag name="ShowInAutoComplete" value="0"/>
          <flag name="ExcludeFromCalcComparison" value="1"/>
        </key>
      </keyFlags>
    </type>
    <type name="_linkedentitycore">
      <keyFlags>
        <key name="%EntityServiceId">
          <flag name="ShowInCardView" value="0"/>
          <flag name="ShowInDotNotation" value="0"/>
          <flag name="ShowInAutoComplete" value="0"/>
        </key>
        <key name="%EntitySubDomainId">
          <flag name="ShowInCardView" value="0"/>
          <flag name="ShowInDotNotation" value="0"/>
          <flag name="ShowInAutoComplete" value="0"/>
        </key>
        <key name="%EntityCulture">
          <flag name="ShowInCardView" value="0"/>
          <flag name="ShowInDotNotation" value="0"/>
          <flag name="ShowInAutoComplete" value="0"/>
        </key>
        <key name="%EntityId">
          <flag name="ShowInCardView" value="0"/>
          <flag name="ShowInDotNotation" value="0"/>
          <flag name="ShowInAutoComplete" value="0"/>
        </key>
        <key name="%IsRefreshable">
          <flag name="ShowInCardView" value="0"/>
          <flag name="ShowInAutoComplete" value="0"/>
          <flag name="ExcludeFromCalcComparison" value="1"/>
        </key>
        <key name="%ProviderInfo">
          <flag name="ShowInCardView" value="0"/>
          <flag name="ShowInDotNotation" value="0"/>
          <flag name="ShowInAutoComplete" value="0"/>
        </key>
        <key name="%DataProviderExternalLinkLogo">
          <flag name="ShowInCardView" value="0"/>
          <flag name="ShowInDotNotation" value="0"/>
          <flag name="ShowInAutoComplete" value="0"/>
        </key>
        <key name="%DataProviderExternalLink">
          <flag name="ShowInCardView" value="0"/>
          <flag name="ShowInDotNotation" value="0"/>
          <flag name="ShowInAutoComplete" value="0"/>
        </key>
        <key name="%OutdatedReason">
          <flag name="ShowInCardView" value="0"/>
          <flag name="ShowInDotNotation" value="0"/>
          <flag name="ShowInAutoComplete" value="0"/>
          <flag name="ExcludeFromCalcComparison" value="1"/>
        </key>
      </keyFlags>
    </type>
  </types>
</rvTypesInfo>
</file>

<file path=xl/richData/rdrichvalue.xml><?xml version="1.0" encoding="utf-8"?>
<rvData xmlns="http://schemas.microsoft.com/office/spreadsheetml/2017/richdata" count="48">
  <rv s="0">
    <v>https://www.bing.com/financeapi/forcetrigger?t=c5ish7&amp;q=BVMF%3aKIVO11&amp;form=skydnc</v>
    <v>Learn more on Bing</v>
  </rv>
  <rv s="1">
    <v>pt-BR</v>
    <v>c5ish7</v>
    <v>268435456</v>
    <v>1</v>
    <v>Da plataforma Refinitiv</v>
    <v>0</v>
    <v>1</v>
    <v>KILIMA VOLKANO RECEB IMOB FII (BVMF:KIVO11)</v>
    <v>3</v>
    <v>4</v>
    <v>Finance</v>
    <v>5</v>
    <v>67.11</v>
    <v>47.57</v>
    <v>BVMF</v>
    <v>64.89</v>
    <v>64.27</v>
    <v>B3 - Brazil Stock Exchange</v>
    <v>64.34</v>
    <v>46020.878472325778</v>
    <v>0</v>
    <v>BRL</v>
    <v>KILIMA VOLKANO RECEB IMOB FII</v>
    <v>64.34</v>
    <v>64.849999999999994</v>
    <v>KIVO11</v>
    <v>Fundos mais negociados</v>
    <v>KILIMA VOLKANO RECEB IMOB FII (BVMF:KIVO11)</v>
    <v>0.51</v>
    <v>7.927E-3</v>
    <v>4537</v>
  </rv>
  <rv s="2">
    <v>1</v>
  </rv>
  <rv s="0">
    <v>https://www.bing.com/financeapi/forcetrigger?t=aplzim&amp;q=BVMF%3aBCRI11&amp;form=skydnc</v>
    <v>Learn more on Bing</v>
  </rv>
  <rv s="1">
    <v>pt-BR</v>
    <v>aplzim</v>
    <v>268435456</v>
    <v>1</v>
    <v>Da plataforma Refinitiv</v>
    <v>0</v>
    <v>1</v>
    <v>BANESTES RECEBIVEIS IMOB FII OF (BVMF:BCRI11)</v>
    <v>3</v>
    <v>4</v>
    <v>Finance</v>
    <v>5</v>
    <v>68.989999999999995</v>
    <v>49.28</v>
    <v>BVMF</v>
    <v>68.900000000000006</v>
    <v>68.03</v>
    <v>B3 - Brazil Stock Exchange</v>
    <v>68.37</v>
    <v>46020.875000034372</v>
    <v>3</v>
    <v>BRL</v>
    <v>BANESTES RECEBIVEIS IMOB FII OF</v>
    <v>68.19</v>
    <v>68.400000000000006</v>
    <v>BCRI11</v>
    <v>Fundos mais negociados</v>
    <v>BANESTES RECEBIVEIS IMOB FII OF (BVMF:BCRI11)</v>
    <v>0.03</v>
    <v>4.3880000000000004E-4</v>
    <v>6208</v>
  </rv>
  <rv s="2">
    <v>4</v>
  </rv>
  <rv s="0">
    <v>https://www.bing.com/financeapi/forcetrigger?t=bqvzvh&amp;q=BVMF%3aHCTR11&amp;form=skydnc</v>
    <v>Learn more on Bing</v>
  </rv>
  <rv s="1">
    <v>pt-BR</v>
    <v>bqvzvh</v>
    <v>268435456</v>
    <v>1</v>
    <v>Da plataforma Refinitiv</v>
    <v>0</v>
    <v>1</v>
    <v>HECTARE CE FDO INV IMOB REIT (BVMF:HCTR11)</v>
    <v>3</v>
    <v>4</v>
    <v>Finance</v>
    <v>5</v>
    <v>23.34</v>
    <v>14.37</v>
    <v>BVMF</v>
    <v>20.7</v>
    <v>20.5</v>
    <v>B3 - Brazil Stock Exchange</v>
    <v>20.62</v>
    <v>46020.875000034372</v>
    <v>6</v>
    <v>BRL</v>
    <v>HECTARE CE FDO INV IMOB REIT</v>
    <v>20.62</v>
    <v>20.65</v>
    <v>HCTR11</v>
    <v>Fundos mais negociados</v>
    <v>HECTARE CE FDO INV IMOB REIT (BVMF:HCTR11)</v>
    <v>0.03</v>
    <v>1.4549999999999999E-3</v>
    <v>48878</v>
  </rv>
  <rv s="2">
    <v>7</v>
  </rv>
  <rv s="0">
    <v>https://www.bing.com/financeapi/forcetrigger?t=bwg44c&amp;q=BVMF%3aRZTR11&amp;form=skydnc</v>
    <v>Learn more on Bing</v>
  </rv>
  <rv s="1">
    <v>pt-BR</v>
    <v>bwg44c</v>
    <v>268435456</v>
    <v>1</v>
    <v>Da plataforma Refinitiv</v>
    <v>0</v>
    <v>1</v>
    <v>FDO DE INV IMOB RIZA TERRAX CF (BVMF:RZTR11)</v>
    <v>3</v>
    <v>4</v>
    <v>Finance</v>
    <v>5</v>
    <v>98.46</v>
    <v>70.83</v>
    <v>BVMF</v>
    <v>98.35</v>
    <v>97.57</v>
    <v>B3 - Brazil Stock Exchange</v>
    <v>98.13</v>
    <v>46020.879166666666</v>
    <v>9</v>
    <v>BRL</v>
    <v>FDO DE INV IMOB RIZA TERRAX CF</v>
    <v>98.25</v>
    <v>98.17</v>
    <v>RZTR11</v>
    <v>Fundos mais negociados</v>
    <v>FDO DE INV IMOB RIZA TERRAX CF (BVMF:RZTR11)</v>
    <v>0.04</v>
    <v>4.0759999999999999E-4</v>
    <v>32939</v>
  </rv>
  <rv s="2">
    <v>10</v>
  </rv>
  <rv s="0">
    <v>https://www.bing.com/financeapi/forcetrigger?t=apmbdm&amp;q=BVMF%3aCPTS11&amp;form=skydnc</v>
    <v>Learn more on Bing</v>
  </rv>
  <rv s="1">
    <v>pt-BR</v>
    <v>apmbdm</v>
    <v>268435456</v>
    <v>1</v>
    <v>Da plataforma Refinitiv</v>
    <v>0</v>
    <v>1</v>
    <v>CAPITANIA SECURITIES II FII CF (BVMF:CPTS11)</v>
    <v>3</v>
    <v>4</v>
    <v>Finance</v>
    <v>5</v>
    <v>7.7</v>
    <v>5.36</v>
    <v>BVMF</v>
    <v>7.7</v>
    <v>7.64</v>
    <v>B3 - Brazil Stock Exchange</v>
    <v>7.62</v>
    <v>46020.879166816405</v>
    <v>12</v>
    <v>BRL</v>
    <v>CAPITANIA SECURITIES II FII CF</v>
    <v>7.64</v>
    <v>7.7</v>
    <v>CPTS11</v>
    <v>Fundos mais negociados</v>
    <v>CAPITANIA SECURITIES II FII CF (BVMF:CPTS11)</v>
    <v>0.08</v>
    <v>1.0499000000000001E-2</v>
    <v>630607</v>
  </rv>
  <rv s="2">
    <v>13</v>
  </rv>
  <rv s="3">
    <v>pt-BR</v>
    <v>ca98ww</v>
    <v>268435456</v>
    <v>1</v>
    <v>Da plataforma Refinitiv</v>
    <v>6</v>
    <v>7</v>
    <v>SHOPPINGS AAA FDO DE INV IMOB (BVMF:CPSH11)</v>
    <v>8</v>
    <v>4</v>
    <v>Finance</v>
    <v>5</v>
    <v>11.1</v>
    <v>7.58</v>
    <v>BVMF</v>
    <v>11.05</v>
    <v>10.88</v>
    <v>B3 - Brazil Stock Exchange</v>
    <v>11.08</v>
    <v>46020.892488425925</v>
    <v>BRL</v>
    <v>SHOPPINGS AAA FDO DE INV IMOB</v>
    <v>11.04</v>
    <v>11.04</v>
    <v>CPSH11</v>
    <v>Fundos mais negociados</v>
    <v>SHOPPINGS AAA FDO DE INV IMOB (BVMF:CPSH11)</v>
    <v>-0.04</v>
    <v>-3.6099999999999999E-3</v>
    <v>136002</v>
  </rv>
  <rv s="2">
    <v>15</v>
  </rv>
  <rv s="0">
    <v>https://www.bing.com/financeapi/forcetrigger?t=bgly3m&amp;q=BVMF%3aXPML11&amp;form=skydnc</v>
    <v>Learn more on Bing</v>
  </rv>
  <rv s="1">
    <v>pt-BR</v>
    <v>bgly3m</v>
    <v>268435456</v>
    <v>1</v>
    <v>Da plataforma Refinitiv</v>
    <v>0</v>
    <v>1</v>
    <v>XP MALLS FDO INV IMOB FII ETF (BVMF:XPML11)</v>
    <v>3</v>
    <v>4</v>
    <v>Finance</v>
    <v>5</v>
    <v>109.98</v>
    <v>86.66</v>
    <v>BVMF</v>
    <v>109.29</v>
    <v>107.84</v>
    <v>B3 - Brazil Stock Exchange</v>
    <v>108.18</v>
    <v>46020.878472314063</v>
    <v>17</v>
    <v>BRL</v>
    <v>XP MALLS FDO INV IMOB FII ETF</v>
    <v>109.27</v>
    <v>108.07</v>
    <v>XPML11</v>
    <v>Fundos mais negociados</v>
    <v>XP MALLS FDO INV IMOB FII ETF (BVMF:XPML11)</v>
    <v>-0.11</v>
    <v>-1.0169999999999999E-3</v>
    <v>131612</v>
  </rv>
  <rv s="2">
    <v>18</v>
  </rv>
  <rv s="4">
    <v>pt-BR</v>
    <v>ccbyyc</v>
    <v>268435456</v>
    <v>1</v>
    <v>Da plataforma Refinitiv</v>
    <v>9</v>
    <v>10</v>
    <v>GAZIT MALLS FII CF (BVMF:GZIT11)</v>
    <v>8</v>
    <v>11</v>
    <v>Finance</v>
    <v>5</v>
    <v>BVMF</v>
    <v>45.1</v>
    <v>45.1</v>
    <v>B3 - Brazil Stock Exchange</v>
    <v>47</v>
    <v>45989.940844664059</v>
    <v>BRL</v>
    <v>GAZIT MALLS FII CF</v>
    <v>45.1</v>
    <v>45.1</v>
    <v>GZIT11</v>
    <v>Fundos mais negociados</v>
    <v>GAZIT MALLS FII CF (BVMF:GZIT11)</v>
    <v>-1.9</v>
    <v>-4.0426000000000004E-2</v>
    <v>5064</v>
  </rv>
  <rv s="2">
    <v>20</v>
  </rv>
  <rv s="0">
    <v>https://www.bing.com/financeapi/forcetrigger?t=bxoi7w&amp;q=BVMF%3aBLMG11&amp;form=skydnc</v>
    <v>Learn more on Bing</v>
  </rv>
  <rv s="1">
    <v>pt-BR</v>
    <v>bxoi7w</v>
    <v>268435456</v>
    <v>1</v>
    <v>Da plataforma Refinitiv</v>
    <v>0</v>
    <v>1</v>
    <v>BLUEMACAW LOGISTICA FII CF (BVMF:BLMG11)</v>
    <v>3</v>
    <v>4</v>
    <v>Finance</v>
    <v>5</v>
    <v>38.520000000000003</v>
    <v>22.87</v>
    <v>BVMF</v>
    <v>34.75</v>
    <v>34</v>
    <v>B3 - Brazil Stock Exchange</v>
    <v>34.729999999999997</v>
    <v>46020.87222222222</v>
    <v>22</v>
    <v>BRL</v>
    <v>BLUEMACAW LOGISTICA FII CF</v>
    <v>34.75</v>
    <v>34.4</v>
    <v>BLMG11</v>
    <v>Fundos mais negociados</v>
    <v>BLUEMACAW LOGISTICA FII CF (BVMF:BLMG11)</v>
    <v>-0.33</v>
    <v>-9.502E-3</v>
    <v>6573</v>
  </rv>
  <rv s="2">
    <v>23</v>
  </rv>
  <rv s="0">
    <v>https://www.bing.com/financeapi/forcetrigger?t=bx5fxm&amp;q=BVMF%3aRELG11&amp;form=skydnc</v>
    <v>Learn more on Bing</v>
  </rv>
  <rv s="1">
    <v>pt-BR</v>
    <v>bx5fxm</v>
    <v>268435456</v>
    <v>1</v>
    <v>Da plataforma Refinitiv</v>
    <v>0</v>
    <v>1</v>
    <v>FDO DE INV IMOB REC LOGISTICA CF (BVMF:RELG11)</v>
    <v>3</v>
    <v>4</v>
    <v>Finance</v>
    <v>5</v>
    <v>69.349999999999994</v>
    <v>46.08</v>
    <v>BVMF</v>
    <v>66</v>
    <v>65.099999999999994</v>
    <v>B3 - Brazil Stock Exchange</v>
    <v>65.099999999999994</v>
    <v>46020.863888888889</v>
    <v>25</v>
    <v>BRL</v>
    <v>FDO DE INV IMOB REC LOGISTICA CF</v>
    <v>65.099999999999994</v>
    <v>65.97</v>
    <v>RELG11</v>
    <v>Fundos mais negociados</v>
    <v>FDO DE INV IMOB REC LOGISTICA CF (BVMF:RELG11)</v>
    <v>0.87</v>
    <v>1.3364000000000001E-2</v>
    <v>497</v>
  </rv>
  <rv s="2">
    <v>26</v>
  </rv>
  <rv s="0">
    <v>https://www.bing.com/financeapi/forcetrigger?t=bvbt9c&amp;q=BVMF%3aPVBI11&amp;form=skydnc</v>
    <v>Learn more on Bing</v>
  </rv>
  <rv s="1">
    <v>pt-BR</v>
    <v>bvbt9c</v>
    <v>268435456</v>
    <v>1</v>
    <v>Da plataforma Refinitiv</v>
    <v>0</v>
    <v>1</v>
    <v>FII VBI PRIME PROPERTIES CF (BVMF:PVBI11)</v>
    <v>3</v>
    <v>4</v>
    <v>Finance</v>
    <v>5</v>
    <v>83.75</v>
    <v>63.58</v>
    <v>BVMF</v>
    <v>83.28</v>
    <v>82.1</v>
    <v>B3 - Brazil Stock Exchange</v>
    <v>83.75</v>
    <v>46020.87916673594</v>
    <v>28</v>
    <v>BRL</v>
    <v>FII VBI PRIME PROPERTIES CF</v>
    <v>83.24</v>
    <v>82.11</v>
    <v>PVBI11</v>
    <v>Fundos mais negociados</v>
    <v>FII VBI PRIME PROPERTIES CF (BVMF:PVBI11)</v>
    <v>-1.64</v>
    <v>-1.9581999999999999E-2</v>
    <v>52576</v>
  </rv>
  <rv s="2">
    <v>29</v>
  </rv>
  <rv s="0">
    <v>https://www.bing.com/financeapi/forcetrigger?t=apmqk2&amp;q=BVMF%3aHGRE11&amp;form=skydnc</v>
    <v>Learn more on Bing</v>
  </rv>
  <rv s="1">
    <v>pt-BR</v>
    <v>apmqk2</v>
    <v>268435456</v>
    <v>1</v>
    <v>Da plataforma Refinitiv</v>
    <v>0</v>
    <v>1</v>
    <v>HG REAL ESTATE FDO INV IMOB CF (BVMF:HGRE11)</v>
    <v>3</v>
    <v>4</v>
    <v>Finance</v>
    <v>5</v>
    <v>126.97</v>
    <v>84.52</v>
    <v>BVMF</v>
    <v>126.97</v>
    <v>125.54</v>
    <v>B3 - Brazil Stock Exchange</v>
    <v>126.5</v>
    <v>46020.878472383592</v>
    <v>31</v>
    <v>BRL</v>
    <v>HG REAL ESTATE FDO INV IMOB CF</v>
    <v>126.48</v>
    <v>126.2</v>
    <v>HGRE11</v>
    <v>Fundos mais negociados</v>
    <v>HG REAL ESTATE FDO INV IMOB CF (BVMF:HGRE11)</v>
    <v>-0.3</v>
    <v>-2.372E-3</v>
    <v>17741</v>
  </rv>
  <rv s="2">
    <v>32</v>
  </rv>
  <rv s="0">
    <v>https://www.bing.com/financeapi/forcetrigger?t=c22fvh&amp;q=BVMF%3aSNFF11&amp;form=skydnc</v>
    <v>Learn more on Bing</v>
  </rv>
  <rv s="1">
    <v>pt-BR</v>
    <v>c22fvh</v>
    <v>268435456</v>
    <v>1</v>
    <v>Da plataforma Refinitiv</v>
    <v>0</v>
    <v>1</v>
    <v>SUNO FUNDO DE FII CF (BVMF:SNFF11)</v>
    <v>3</v>
    <v>4</v>
    <v>Finance</v>
    <v>5</v>
    <v>78</v>
    <v>58.81</v>
    <v>BVMF</v>
    <v>78</v>
    <v>75.3</v>
    <v>B3 - Brazil Stock Exchange</v>
    <v>75.319999999999993</v>
    <v>46020.892372685186</v>
    <v>34</v>
    <v>BRL</v>
    <v>SUNO FUNDO DE FII CF</v>
    <v>76.08</v>
    <v>76.13</v>
    <v>SNFF11</v>
    <v>Fundos mais negociados</v>
    <v>SUNO FUNDO DE FII CF (BVMF:SNFF11)</v>
    <v>0.81</v>
    <v>1.0754E-2</v>
    <v>6088</v>
  </rv>
  <rv s="2">
    <v>35</v>
  </rv>
  <rv s="5">
    <v>pt-BR</v>
    <v>ccr62w</v>
    <v>268435456</v>
    <v>1</v>
    <v>Da plataforma Refinitiv</v>
    <v>12</v>
    <v>13</v>
    <v>UBSS&amp;P500ClTrnsESGUCITSETFUSDa (XETR:BCFF)</v>
    <v>8</v>
    <v>14</v>
    <v>Finance</v>
    <v>15</v>
    <v>7.57</v>
    <v>5.7030000000000003</v>
    <v>XETR</v>
    <v>7.524</v>
    <v>7.5110000000000001</v>
    <v>Xetra</v>
    <v>1744792.45</v>
    <v>7.4880000000000004</v>
    <v>46020.878993055558</v>
    <v>EUR</v>
    <v>UBSS&amp;P500ClTrnsESGUCITSETFUSDa</v>
    <v>7.52</v>
    <v>7.5110000000000001</v>
    <v>BCFF</v>
    <v>7.000000000000001E-4</v>
    <v>Fundos mais negociados</v>
    <v>UBSS&amp;P500ClTrnsESGUCITSETFUSDa (XETR:BCFF)</v>
    <v>2.3E-2</v>
    <v>3.0719999999999996E-3</v>
    <v>0</v>
  </rv>
  <rv s="2">
    <v>37</v>
  </rv>
  <rv s="0">
    <v>https://www.bing.com/financeapi/forcetrigger?t=b135p2&amp;q=BVMF%3aHFOF11&amp;form=skydnc</v>
    <v>Learn more on Bing</v>
  </rv>
  <rv s="1">
    <v>pt-BR</v>
    <v>b135p2</v>
    <v>268435456</v>
    <v>1</v>
    <v>Da plataforma Refinitiv</v>
    <v>0</v>
    <v>1</v>
    <v>HEDGE TOP FOFII 3 FDO INV IMOB CF (BVMF:HFOF11)</v>
    <v>3</v>
    <v>4</v>
    <v>Finance</v>
    <v>5</v>
    <v>6.57</v>
    <v>4.63</v>
    <v>BVMF</v>
    <v>6.57</v>
    <v>6.47</v>
    <v>B3 - Brazil Stock Exchange</v>
    <v>6.51</v>
    <v>46020.892488425925</v>
    <v>39</v>
    <v>BRL</v>
    <v>HEDGE TOP FOFII 3 FDO INV IMOB CF</v>
    <v>6.49</v>
    <v>6.57</v>
    <v>HFOF11</v>
    <v>Fundos mais negociados</v>
    <v>HEDGE TOP FOFII 3 FDO INV IMOB CF (BVMF:HFOF11)</v>
    <v>0.06</v>
    <v>9.2169999999999995E-3</v>
    <v>225510</v>
  </rv>
  <rv s="2">
    <v>40</v>
  </rv>
  <rv s="0">
    <v>https://www.bing.com/financeapi/forcetrigger?t=apmkww&amp;q=BVMF%3aFIVN11&amp;form=skydnc</v>
    <v>Learn more on Bing</v>
  </rv>
  <rv s="1">
    <v>pt-BR</v>
    <v>apmkww</v>
    <v>268435456</v>
    <v>1</v>
    <v>Da plataforma Refinitiv</v>
    <v>0</v>
    <v>1</v>
    <v>FDO INV IMOB VIDA NOVA - FII (BVMF:FIVN11)</v>
    <v>3</v>
    <v>4</v>
    <v>Finance</v>
    <v>5</v>
    <v>6.44</v>
    <v>1.45</v>
    <v>BVMF</v>
    <v>3.24</v>
    <v>3.04</v>
    <v>B3 - Brazil Stock Exchange</v>
    <v>3.2</v>
    <v>46020.871539351851</v>
    <v>42</v>
    <v>BRL</v>
    <v>FDO INV IMOB VIDA NOVA - FII</v>
    <v>3.24</v>
    <v>3.14</v>
    <v>FIVN11</v>
    <v>Fundos mais negociados</v>
    <v>FDO INV IMOB VIDA NOVA - FII (BVMF:FIVN11)</v>
    <v>-0.06</v>
    <v>-1.8749999999999999E-2</v>
    <v>1046</v>
  </rv>
  <rv s="2">
    <v>43</v>
  </rv>
  <rv s="0">
    <v>https://www.bing.com/financeapi/forcetrigger?t=b17svh&amp;q=BVMF%3aHTMX11&amp;form=skydnc</v>
    <v>Learn more on Bing</v>
  </rv>
  <rv s="1">
    <v>pt-BR</v>
    <v>b17svh</v>
    <v>268435456</v>
    <v>1</v>
    <v>Da plataforma Refinitiv</v>
    <v>0</v>
    <v>1</v>
    <v>FDO INV IMOB FII HOTEL MAXINVEST CF (BVMF:HTMX11)</v>
    <v>3</v>
    <v>4</v>
    <v>Finance</v>
    <v>5</v>
    <v>162.19</v>
    <v>125.57</v>
    <v>BVMF</v>
    <v>151</v>
    <v>149.72999999999999</v>
    <v>B3 - Brazil Stock Exchange</v>
    <v>151.4</v>
    <v>46020.879166885934</v>
    <v>45</v>
    <v>BRL</v>
    <v>FDO INV IMOB FII HOTEL MAXINVEST CF</v>
    <v>149.72999999999999</v>
    <v>149.75</v>
    <v>HTMX11</v>
    <v>Fundos mais negociados</v>
    <v>FDO INV IMOB FII HOTEL MAXINVEST CF (BVMF:HTMX11)</v>
    <v>-1.65</v>
    <v>-1.0898000000000001E-2</v>
    <v>3926</v>
  </rv>
  <rv s="2">
    <v>46</v>
  </rv>
</rvData>
</file>

<file path=xl/richData/rdrichvaluestructure.xml><?xml version="1.0" encoding="utf-8"?>
<rvStructures xmlns="http://schemas.microsoft.com/office/spreadsheetml/2017/richdata" count="6">
  <s t="_hyperlink">
    <k n="Address" t="s"/>
    <k n="Text" t="s"/>
  </s>
  <s t="_linkedentitycore">
    <k n="%EntityCulture" t="s"/>
    <k n="%EntityId" t="s"/>
    <k n="%EntityServiceId"/>
    <k n="%IsRefreshable" t="b"/>
    <k n="%ProviderInfo" t="s"/>
    <k n="_CanonicalPropertyNames" t="spb"/>
    <k n="_Display" t="spb"/>
    <k n="_DisplayString" t="s"/>
    <k n="_Flags" t="spb"/>
    <k n="_Format" t="spb"/>
    <k n="_Icon" t="s"/>
    <k n="_SubLabel" t="spb"/>
    <k n="52 semanas de alta"/>
    <k n="52 semanas de baixa"/>
    <k n="Abreviatura do câmbio" t="s"/>
    <k n="Alto"/>
    <k n="Baixo"/>
    <k n="Bolsa" t="s"/>
    <k n="Fechamento anterior"/>
    <k n="Hora da última transação"/>
    <k n="LearnMoreOnLink" t="r"/>
    <k n="Moeda" t="s"/>
    <k n="Nome" t="s"/>
    <k n="Pendência"/>
    <k n="Preço"/>
    <k n="Símbolo do ticker" t="s"/>
    <k n="Tipo de instrumento" t="s"/>
    <k n="UniqueName" t="s"/>
    <k n="Variação"/>
    <k n="Variação (%)"/>
    <k n="Volume"/>
  </s>
  <s t="_linkedentity">
    <k n="%cvi" t="r"/>
  </s>
  <s t="_linkedentitycore">
    <k n="%EntityCulture" t="s"/>
    <k n="%EntityId" t="s"/>
    <k n="%EntityServiceId"/>
    <k n="%IsRefreshable" t="b"/>
    <k n="%ProviderInfo" t="s"/>
    <k n="_CanonicalPropertyNames" t="spb"/>
    <k n="_Display" t="spb"/>
    <k n="_DisplayString" t="s"/>
    <k n="_Flags" t="spb"/>
    <k n="_Format" t="spb"/>
    <k n="_Icon" t="s"/>
    <k n="_SubLabel" t="spb"/>
    <k n="52 semanas de alta"/>
    <k n="52 semanas de baixa"/>
    <k n="Abreviatura do câmbio" t="s"/>
    <k n="Alto"/>
    <k n="Baixo"/>
    <k n="Bolsa" t="s"/>
    <k n="Fechamento anterior"/>
    <k n="Hora da última transação"/>
    <k n="Moeda" t="s"/>
    <k n="Nome" t="s"/>
    <k n="Pendência"/>
    <k n="Preço"/>
    <k n="Símbolo do ticker" t="s"/>
    <k n="Tipo de instrumento" t="s"/>
    <k n="UniqueName" t="s"/>
    <k n="Variação"/>
    <k n="Variação (%)"/>
    <k n="Volume"/>
  </s>
  <s t="_linkedentitycore">
    <k n="%EntityCulture" t="s"/>
    <k n="%EntityId" t="s"/>
    <k n="%EntityServiceId"/>
    <k n="%IsRefreshable" t="b"/>
    <k n="%ProviderInfo" t="s"/>
    <k n="_CanonicalPropertyNames" t="spb"/>
    <k n="_Display" t="spb"/>
    <k n="_DisplayString" t="s"/>
    <k n="_Flags" t="spb"/>
    <k n="_Format" t="spb"/>
    <k n="_Icon" t="s"/>
    <k n="_SubLabel" t="spb"/>
    <k n="Abreviatura do câmbio" t="s"/>
    <k n="Alto"/>
    <k n="Baixo"/>
    <k n="Bolsa" t="s"/>
    <k n="Fechamento anterior"/>
    <k n="Hora da última transação"/>
    <k n="Moeda" t="s"/>
    <k n="Nome" t="s"/>
    <k n="Pendência"/>
    <k n="Preço"/>
    <k n="Símbolo do ticker" t="s"/>
    <k n="Tipo de instrumento" t="s"/>
    <k n="UniqueName" t="s"/>
    <k n="Variação"/>
    <k n="Variação (%)"/>
    <k n="Volume"/>
  </s>
  <s t="_linkedentitycore">
    <k n="%EntityCulture" t="s"/>
    <k n="%EntityId" t="s"/>
    <k n="%EntityServiceId"/>
    <k n="%IsRefreshable" t="b"/>
    <k n="%ProviderInfo" t="s"/>
    <k n="_CanonicalPropertyNames" t="spb"/>
    <k n="_Display" t="spb"/>
    <k n="_DisplayString" t="s"/>
    <k n="_Flags" t="spb"/>
    <k n="_Format" t="spb"/>
    <k n="_Icon" t="s"/>
    <k n="_SubLabel" t="spb"/>
    <k n="52 semanas de alta"/>
    <k n="52 semanas de baixa"/>
    <k n="Abreviatura do câmbio" t="s"/>
    <k n="Alto"/>
    <k n="Baixo"/>
    <k n="Bolsa" t="s"/>
    <k n="Capitalização de mercado"/>
    <k n="Fechamento anterior"/>
    <k n="Hora da última transação"/>
    <k n="Moeda" t="s"/>
    <k n="Nome" t="s"/>
    <k n="Pendência"/>
    <k n="Preço"/>
    <k n="Símbolo do ticker" t="s"/>
    <k n="Taxa de despesas"/>
    <k n="Tipo de instrumento" t="s"/>
    <k n="UniqueName" t="s"/>
    <k n="Variação"/>
    <k n="Variação (%)"/>
    <k n="Volume"/>
  </s>
</rvStructures>
</file>

<file path=xl/richData/rdsupportingpropertybag.xml><?xml version="1.0" encoding="utf-8"?>
<supportingPropertyBags xmlns="http://schemas.microsoft.com/office/spreadsheetml/2017/richdata2">
  <spbArrays count="4">
    <a count="31">
      <v t="s">%EntityServiceId</v>
      <v t="s">_Format</v>
      <v t="s">%IsRefreshable</v>
      <v t="s">_CanonicalPropertyNames</v>
      <v t="s">%EntityCulture</v>
      <v t="s">%EntityId</v>
      <v t="s">_Icon</v>
      <v t="s">_Display</v>
      <v t="s">Nome</v>
      <v t="s">_SubLabel</v>
      <v t="s">Preço</v>
      <v t="s">Bolsa</v>
      <v t="s">Hora da última transação</v>
      <v t="s">Símbolo do ticker</v>
      <v t="s">Abreviatura do câmbio</v>
      <v t="s">Variação</v>
      <v t="s">Variação (%)</v>
      <v t="s">Moeda</v>
      <v t="s">Fechamento anterior</v>
      <v t="s">Pendência</v>
      <v t="s">Alto</v>
      <v t="s">Baixo</v>
      <v t="s">52 semanas de alta</v>
      <v t="s">52 semanas de baixa</v>
      <v t="s">Volume</v>
      <v t="s">Tipo de instrumento</v>
      <v t="s">_Flags</v>
      <v t="s">UniqueName</v>
      <v t="s">_DisplayString</v>
      <v t="s">LearnMoreOnLink</v>
      <v t="s">%ProviderInfo</v>
    </a>
    <a count="30">
      <v t="s">%EntityServiceId</v>
      <v t="s">_Format</v>
      <v t="s">%IsRefreshable</v>
      <v t="s">_CanonicalPropertyNames</v>
      <v t="s">%EntityCulture</v>
      <v t="s">%EntityId</v>
      <v t="s">_Icon</v>
      <v t="s">_Display</v>
      <v t="s">Nome</v>
      <v t="s">_SubLabel</v>
      <v t="s">Preço</v>
      <v t="s">Bolsa</v>
      <v t="s">Hora da última transação</v>
      <v t="s">Símbolo do ticker</v>
      <v t="s">Abreviatura do câmbio</v>
      <v t="s">Variação</v>
      <v t="s">Variação (%)</v>
      <v t="s">Moeda</v>
      <v t="s">Fechamento anterior</v>
      <v t="s">Pendência</v>
      <v t="s">Alto</v>
      <v t="s">Baixo</v>
      <v t="s">52 semanas de alta</v>
      <v t="s">52 semanas de baixa</v>
      <v t="s">Volume</v>
      <v t="s">Tipo de instrumento</v>
      <v t="s">_Flags</v>
      <v t="s">UniqueName</v>
      <v t="s">_DisplayString</v>
      <v t="s">%ProviderInfo</v>
    </a>
    <a count="28">
      <v t="s">%EntityServiceId</v>
      <v t="s">_Format</v>
      <v t="s">%IsRefreshable</v>
      <v t="s">_CanonicalPropertyNames</v>
      <v t="s">%EntityCulture</v>
      <v t="s">%EntityId</v>
      <v t="s">_Icon</v>
      <v t="s">_Display</v>
      <v t="s">Nome</v>
      <v t="s">_SubLabel</v>
      <v t="s">Preço</v>
      <v t="s">Bolsa</v>
      <v t="s">Hora da última transação</v>
      <v t="s">Símbolo do ticker</v>
      <v t="s">Abreviatura do câmbio</v>
      <v t="s">Variação</v>
      <v t="s">Variação (%)</v>
      <v t="s">Moeda</v>
      <v t="s">Fechamento anterior</v>
      <v t="s">Pendência</v>
      <v t="s">Alto</v>
      <v t="s">Baixo</v>
      <v t="s">Volume</v>
      <v t="s">Tipo de instrumento</v>
      <v t="s">_Flags</v>
      <v t="s">UniqueName</v>
      <v t="s">_DisplayString</v>
      <v t="s">%ProviderInfo</v>
    </a>
    <a count="32">
      <v t="s">%EntityServiceId</v>
      <v t="s">_Format</v>
      <v t="s">%IsRefreshable</v>
      <v t="s">_CanonicalPropertyNames</v>
      <v t="s">%EntityCulture</v>
      <v t="s">%EntityId</v>
      <v t="s">_Icon</v>
      <v t="s">_Display</v>
      <v t="s">Nome</v>
      <v t="s">_SubLabel</v>
      <v t="s">Preço</v>
      <v t="s">Bolsa</v>
      <v t="s">Hora da última transação</v>
      <v t="s">Símbolo do ticker</v>
      <v t="s">Abreviatura do câmbio</v>
      <v t="s">Variação</v>
      <v t="s">Taxa de despesas</v>
      <v t="s">Variação (%)</v>
      <v t="s">Moeda</v>
      <v t="s">Fechamento anterior</v>
      <v t="s">Pendência</v>
      <v t="s">Alto</v>
      <v t="s">Baixo</v>
      <v t="s">52 semanas de alta</v>
      <v t="s">52 semanas de baixa</v>
      <v t="s">Volume</v>
      <v t="s">Capitalização de mercado</v>
      <v t="s">Tipo de instrumento</v>
      <v t="s">_Flags</v>
      <v t="s">UniqueName</v>
      <v t="s">_DisplayString</v>
      <v t="s">%ProviderInfo</v>
    </a>
  </spbArrays>
  <spbData count="16">
    <spb s="0">
      <v>High</v>
      <v>Name</v>
      <v>Low</v>
      <v>Exchange</v>
      <v>Currency</v>
      <v>Price</v>
      <v>Volume</v>
      <v>Change</v>
      <v>Open</v>
      <v>UniqueName</v>
      <v>Change (%)</v>
      <v>%ProviderInfo</v>
      <v>LearnMoreOnLink</v>
      <v>Ticker symbol</v>
      <v>52 week high</v>
      <v>52 week low</v>
      <v>Previous close</v>
      <v>Instrument type</v>
      <v>Exchange abbreviation</v>
      <v>Last trade time</v>
    </spb>
    <spb s="1">
      <v>0</v>
      <v>Name</v>
      <v>LearnMoreOnLink</v>
    </spb>
    <spb s="2">
      <v>0</v>
      <v>0</v>
      <v>0</v>
    </spb>
    <spb s="3">
      <v>2</v>
      <v>2</v>
      <v>2</v>
    </spb>
    <spb s="4">
      <v>1</v>
      <v>2</v>
      <v>1</v>
      <v>1</v>
      <v>3</v>
      <v>1</v>
      <v>1</v>
      <v>4</v>
      <v>5</v>
      <v>1</v>
      <v>1</v>
      <v>1</v>
      <v>6</v>
    </spb>
    <spb s="5">
      <v>Atraso de 30 minutos</v>
      <v xml:space="preserve">do fechamento anterior </v>
      <v xml:space="preserve">do fechamento anterior </v>
      <v>GMT</v>
    </spb>
    <spb s="6">
      <v>High</v>
      <v>Name</v>
      <v>Low</v>
      <v>Exchange</v>
      <v>Currency</v>
      <v>Price</v>
      <v>Volume</v>
      <v>Change</v>
      <v>Open</v>
      <v>UniqueName</v>
      <v>Change (%)</v>
      <v>%ProviderInfo</v>
      <v>Ticker symbol</v>
      <v>52 week high</v>
      <v>52 week low</v>
      <v>Previous close</v>
      <v>Instrument type</v>
      <v>Exchange abbreviation</v>
      <v>Last trade time</v>
    </spb>
    <spb s="7">
      <v>1</v>
      <v>Name</v>
    </spb>
    <spb s="8">
      <v>2</v>
      <v>2</v>
    </spb>
    <spb s="9">
      <v>High</v>
      <v>Name</v>
      <v>Low</v>
      <v>Exchange</v>
      <v>Currency</v>
      <v>Price</v>
      <v>Volume</v>
      <v>Change</v>
      <v>Open</v>
      <v>UniqueName</v>
      <v>Change (%)</v>
      <v>%ProviderInfo</v>
      <v>Ticker symbol</v>
      <v>Previous close</v>
      <v>Instrument type</v>
      <v>Exchange abbreviation</v>
      <v>Last trade time</v>
    </spb>
    <spb s="7">
      <v>2</v>
      <v>Name</v>
    </spb>
    <spb s="10">
      <v>1</v>
      <v>2</v>
      <v>1</v>
      <v>1</v>
      <v>3</v>
      <v>1</v>
      <v>1</v>
      <v>4</v>
      <v>5</v>
      <v>1</v>
      <v>6</v>
    </spb>
    <spb s="11">
      <v>High</v>
      <v>Name</v>
      <v>Low</v>
      <v>Exchange</v>
      <v>Currency</v>
      <v>Price</v>
      <v>Volume</v>
      <v>Change</v>
      <v>Open</v>
      <v>UniqueName</v>
      <v>Change (%)</v>
      <v>%ProviderInfo</v>
      <v>Expense ratio</v>
      <v>Ticker symbol</v>
      <v>52 week high</v>
      <v>52 week low</v>
      <v>Previous close</v>
      <v>Instrument type</v>
      <v>Exchange abbreviation</v>
      <v>Market cap</v>
      <v>Last trade time</v>
    </spb>
    <spb s="7">
      <v>3</v>
      <v>Name</v>
    </spb>
    <spb s="12">
      <v>7</v>
      <v>2</v>
      <v>7</v>
      <v>7</v>
      <v>3</v>
      <v>7</v>
      <v>7</v>
      <v>4</v>
      <v>4</v>
      <v>5</v>
      <v>7</v>
      <v>7</v>
      <v>7</v>
      <v>8</v>
      <v>6</v>
    </spb>
    <spb s="5">
      <v>Atraso de 15 minutos</v>
      <v xml:space="preserve">do fechamento anterior </v>
      <v xml:space="preserve">do fechamento anterior </v>
      <v>GMT</v>
    </spb>
  </spbData>
</supportingPropertyBags>
</file>

<file path=xl/richData/rdsupportingpropertybagstructure.xml><?xml version="1.0" encoding="utf-8"?>
<spbStructures xmlns="http://schemas.microsoft.com/office/spreadsheetml/2017/richdata2" count="13">
  <s>
    <k n="Alto" t="s"/>
    <k n="Nome" t="s"/>
    <k n="Baixo" t="s"/>
    <k n="Bolsa" t="s"/>
    <k n="Moeda" t="s"/>
    <k n="Preço" t="s"/>
    <k n="Volume" t="s"/>
    <k n="Variação" t="s"/>
    <k n="Pendência" t="s"/>
    <k n="UniqueName" t="s"/>
    <k n="Variação (%)" t="s"/>
    <k n="%ProviderInfo" t="s"/>
    <k n="LearnMoreOnLink" t="s"/>
    <k n="Símbolo do ticker" t="s"/>
    <k n="52 semanas de alta" t="s"/>
    <k n="52 semanas de baixa" t="s"/>
    <k n="Fechamento anterior" t="s"/>
    <k n="Tipo de instrumento" t="s"/>
    <k n="Abreviatura do câmbio" t="s"/>
    <k n="Hora da última transação" t="s"/>
  </s>
  <s>
    <k n="^Order" t="spba"/>
    <k n="TitleProperty" t="s"/>
    <k n="SubTitleProperty" t="s"/>
  </s>
  <s>
    <k n="ShowInCardView" t="b"/>
    <k n="ShowInDotNotation" t="b"/>
    <k n="ShowInAutoComplete" t="b"/>
  </s>
  <s>
    <k n="UniqueName" t="spb"/>
    <k n="`%ProviderInfo" t="spb"/>
    <k n="LearnMoreOnLink" t="spb"/>
  </s>
  <s>
    <k n="Alto" t="i"/>
    <k n="Nome" t="i"/>
    <k n="Baixo" t="i"/>
    <k n="Preço" t="i"/>
    <k n="Volume" t="i"/>
    <k n="Variação" t="i"/>
    <k n="Pendência" t="i"/>
    <k n="Variação (%)" t="i"/>
    <k n="`%EntityServiceId" t="i"/>
    <k n="52 semanas de alta" t="i"/>
    <k n="52 semanas de baixa" t="i"/>
    <k n="Fechamento anterior" t="i"/>
    <k n="Hora da última transação" t="i"/>
  </s>
  <s>
    <k n="Preço" t="s"/>
    <k n="Variação" t="s"/>
    <k n="Variação (%)" t="s"/>
    <k n="Hora da última transação" t="s"/>
  </s>
  <s>
    <k n="Alto" t="s"/>
    <k n="Nome" t="s"/>
    <k n="Baixo" t="s"/>
    <k n="Bolsa" t="s"/>
    <k n="Moeda" t="s"/>
    <k n="Preço" t="s"/>
    <k n="Volume" t="s"/>
    <k n="Variação" t="s"/>
    <k n="Pendência" t="s"/>
    <k n="UniqueName" t="s"/>
    <k n="Variação (%)" t="s"/>
    <k n="%ProviderInfo" t="s"/>
    <k n="Símbolo do ticker" t="s"/>
    <k n="52 semanas de alta" t="s"/>
    <k n="52 semanas de baixa" t="s"/>
    <k n="Fechamento anterior" t="s"/>
    <k n="Tipo de instrumento" t="s"/>
    <k n="Abreviatura do câmbio" t="s"/>
    <k n="Hora da última transação" t="s"/>
  </s>
  <s>
    <k n="^Order" t="spba"/>
    <k n="TitleProperty" t="s"/>
  </s>
  <s>
    <k n="UniqueName" t="spb"/>
    <k n="`%ProviderInfo" t="spb"/>
  </s>
  <s>
    <k n="Alto" t="s"/>
    <k n="Nome" t="s"/>
    <k n="Baixo" t="s"/>
    <k n="Bolsa" t="s"/>
    <k n="Moeda" t="s"/>
    <k n="Preço" t="s"/>
    <k n="Volume" t="s"/>
    <k n="Variação" t="s"/>
    <k n="Pendência" t="s"/>
    <k n="UniqueName" t="s"/>
    <k n="Variação (%)" t="s"/>
    <k n="%ProviderInfo" t="s"/>
    <k n="Símbolo do ticker" t="s"/>
    <k n="Fechamento anterior" t="s"/>
    <k n="Tipo de instrumento" t="s"/>
    <k n="Abreviatura do câmbio" t="s"/>
    <k n="Hora da última transação" t="s"/>
  </s>
  <s>
    <k n="Alto" t="i"/>
    <k n="Nome" t="i"/>
    <k n="Baixo" t="i"/>
    <k n="Preço" t="i"/>
    <k n="Volume" t="i"/>
    <k n="Variação" t="i"/>
    <k n="Pendência" t="i"/>
    <k n="Variação (%)" t="i"/>
    <k n="`%EntityServiceId" t="i"/>
    <k n="Fechamento anterior" t="i"/>
    <k n="Hora da última transação" t="i"/>
  </s>
  <s>
    <k n="Alto" t="s"/>
    <k n="Nome" t="s"/>
    <k n="Baixo" t="s"/>
    <k n="Bolsa" t="s"/>
    <k n="Moeda" t="s"/>
    <k n="Preço" t="s"/>
    <k n="Volume" t="s"/>
    <k n="Variação" t="s"/>
    <k n="Pendência" t="s"/>
    <k n="UniqueName" t="s"/>
    <k n="Variação (%)" t="s"/>
    <k n="%ProviderInfo" t="s"/>
    <k n="Taxa de despesas" t="s"/>
    <k n="Símbolo do ticker" t="s"/>
    <k n="52 semanas de alta" t="s"/>
    <k n="52 semanas de baixa" t="s"/>
    <k n="Fechamento anterior" t="s"/>
    <k n="Tipo de instrumento" t="s"/>
    <k n="Abreviatura do câmbio" t="s"/>
    <k n="Capitalização de mercado" t="s"/>
    <k n="Hora da última transação" t="s"/>
  </s>
  <s>
    <k n="Alto" t="i"/>
    <k n="Nome" t="i"/>
    <k n="Baixo" t="i"/>
    <k n="Preço" t="i"/>
    <k n="Volume" t="i"/>
    <k n="Variação" t="i"/>
    <k n="Pendência" t="i"/>
    <k n="Variação (%)" t="i"/>
    <k n="Taxa de despesas" t="i"/>
    <k n="`%EntityServiceId" t="i"/>
    <k n="52 semanas de alta" t="i"/>
    <k n="52 semanas de baixa" t="i"/>
    <k n="Fechamento anterior" t="i"/>
    <k n="Capitalização de mercado" t="i"/>
    <k n="Hora da última transação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5">
    <x:dxf>
      <x:numFmt numFmtId="2" formatCode="0.00"/>
    </x:dxf>
    <x:dxf>
      <x:numFmt numFmtId="0" formatCode="General"/>
    </x:dxf>
    <x:dxf>
      <x:numFmt numFmtId="27" formatCode="dd/mm/yyyy\ hh:mm"/>
    </x:dxf>
    <x:dxf>
      <x:numFmt numFmtId="14" formatCode="0.00%"/>
    </x:dxf>
    <x:dxf>
      <x:numFmt numFmtId="3" formatCode="#,##0"/>
    </x:dxf>
  </dxfs>
  <richProperties>
    <rPr n="NumberFormat" t="s"/>
    <rPr n="IsTitleField" t="b"/>
  </richProperties>
  <richStyles>
    <rSty dxfid="1">
      <rpv i="0">_-[$R$-pt-BR] * #,##0.00_-;-[$R$-pt-BR] * #,##0.00_-;_-[$R$-pt-BR] * "-"??_-;_-@_-</rpv>
    </rSty>
    <rSty>
      <rpv i="1">1</rpv>
    </rSty>
    <rSty dxfid="4">
      <rpv i="0">#,##0</rpv>
    </rSty>
    <rSty dxfid="3"/>
    <rSty dxfid="0">
      <rpv i="0">0.00</rpv>
    </rSty>
    <rSty dxfid="2"/>
    <rSty dxfid="1">
      <rpv i="0">_([$€-x-euro2] * #,##0.00_);_([$€-x-euro2] * (#,##0.00);_([$€-x-euro2] * "-"??_);_(@_)</rpv>
    </rSty>
    <rSty dxfid="1">
      <rpv i="0">_([$€-x-euro2] * #,##0_);_([$€-x-euro2] * (#,##0);_([$€-x-euro2] * "-"_);_(@_)</rpv>
    </rSty>
  </richStyles>
</richStyleSheet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ATEGORIA" xr10:uid="{DAEA8C3E-6D9D-4F4F-A894-75015A528C52}" sourceName="CATEGORIA">
  <extLst>
    <x:ext xmlns:x15="http://schemas.microsoft.com/office/spreadsheetml/2010/11/main" uri="{2F2917AC-EB37-4324-AD4E-5DD8C200BD13}">
      <x15:tableSlicerCache tableId="6" column="1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IA 1" xr10:uid="{3BB84365-766B-473F-8E7A-915B194B0841}" cache="SegmentaçãodeDados_CATEGORIA" caption="FILTRO" rowHeight="2476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IA" xr10:uid="{515F49F5-E821-465C-9938-E34BD91B03A7}" cache="SegmentaçãodeDados_CATEGORIA" caption="CATEGORIA" columnCount="3" style="SlicerStyleLight1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2C7D16F-B249-43F6-A30D-2EE6BB1F64EA}" name="tbt_fiis" displayName="tbt_fiis" ref="C2:K20" headerRowCount="0" tableBorderDxfId="92">
  <tableColumns count="9">
    <tableColumn id="1" xr3:uid="{FC54E0D2-BC58-4FB3-A7EE-A088ABEDB983}" name="Categoria" totalsRowLabel="Total"/>
    <tableColumn id="2" xr3:uid="{C7A6CF8D-6A84-4C20-8BF2-F45EFE45133A}" name="FIIS"/>
    <tableColumn id="3" xr3:uid="{F354B449-0F3C-4BBB-9898-84F97BDDC131}" name="Valor da Categoria" headerRowDxfId="91" dataDxfId="90" totalsRowDxfId="89" dataCellStyle="Moeda"/>
    <tableColumn id="4" xr3:uid="{0EBE8CA9-BF54-49E3-972C-7AB2D80C528C}" name="Preço da Cota" headerRowDxfId="88" dataDxfId="87" totalsRowDxfId="86">
      <calculatedColumnFormula array="1">_FV(B2,"Preço")</calculatedColumnFormula>
    </tableColumn>
    <tableColumn id="5" xr3:uid="{E4E38DDD-D308-4DDC-984A-0CC5B9D54C3F}" name="valor das FIIS" headerRowDxfId="85" dataDxfId="84" totalsRowDxfId="83">
      <calculatedColumnFormula>E2/K2</calculatedColumnFormula>
    </tableColumn>
    <tableColumn id="6" xr3:uid="{2D578638-0799-4DEE-B04A-337E214C41CB}" name="Quantidade de Cota">
      <calculatedColumnFormula>INT(G3/F3)</calculatedColumnFormula>
    </tableColumn>
    <tableColumn id="7" xr3:uid="{0A78892E-8F1C-4B1F-AA3B-D5573AB5C710}" name="Investimento" headerRowDxfId="82" dataDxfId="81" totalsRowDxfId="80" dataCellStyle="Moeda">
      <calculatedColumnFormula>H2*F2</calculatedColumnFormula>
    </tableColumn>
    <tableColumn id="9" xr3:uid="{BF19EA5B-0F20-4313-AF17-1D9E5B900AAC}" name="DIVIDENDO" totalsRowFunction="sum" headerRowDxfId="79" dataDxfId="78" totalsRowDxfId="77" dataCellStyle="Moeda">
      <calculatedColumnFormula>I2*tx_carteira</calculatedColumnFormula>
    </tableColumn>
    <tableColumn id="8" xr3:uid="{51CAC08A-048E-4EC8-9C49-DFECCA1C2777}" name="Coluna1" headerRowDxfId="76">
      <calculatedColumnFormula>COUNTIF($C:$C,tbt_fiis[[#This Row],[Categoria]])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B0EF4B2-7AB9-40EF-A01E-734BA470815B}" name="Tabela6" displayName="Tabela6" ref="A1:F21" totalsRowCount="1" headerRowDxfId="75" headerRowBorderDxfId="74" tableBorderDxfId="73">
  <autoFilter ref="A1:F20" xr:uid="{AB0EF4B2-7AB9-40EF-A01E-734BA470815B}"/>
  <tableColumns count="6">
    <tableColumn id="1" xr3:uid="{EBD6FB34-C5B9-4222-86F1-9E1C75E460FC}" name="CATEGORIA"/>
    <tableColumn id="2" xr3:uid="{44555DFC-813C-4DBC-97CF-6C290338B414}" name="FIIS"/>
    <tableColumn id="3" xr3:uid="{698B3DBC-870F-4290-AE30-60E6D50879FD}" name="R$ VALOR  FII" dataDxfId="72" totalsRowDxfId="71"/>
    <tableColumn id="4" xr3:uid="{2129A1F5-0A1A-46A9-A195-550897D5969A}" name="R$ PREÇO CTA" dataDxfId="70" totalsRowDxfId="69" dataCellStyle="Moeda" totalsRowCellStyle="Moeda"/>
    <tableColumn id="5" xr3:uid="{ED0B140C-5889-4748-893D-993E27774F8F}" name="Nº DE CTA" dataDxfId="68" totalsRowDxfId="67"/>
    <tableColumn id="6" xr3:uid="{62C76E81-7EE5-496D-A7CE-DF9B7DD6192C}" name="RENDIMENTO MENSAL" dataDxfId="66" totalsRowDxfId="65" dataCellStyle="Moeda" totalsRowCellStyle="Moed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FF0D50-CD14-41BB-9934-06E09CE3CCD7}" name="Tabela1" displayName="Tabela1" ref="F1:F6" totalsRowShown="0">
  <autoFilter ref="F1:F6" xr:uid="{E2FF0D50-CD14-41BB-9934-06E09CE3CCD7}"/>
  <tableColumns count="1">
    <tableColumn id="1" xr3:uid="{531F2B6C-A279-48A5-A0E3-471756E0A558}" name="CENÁRIOS" dataDxfId="6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ADA22C5-06D9-41F9-93E9-2D44C790D38D}" name="TBTPERFIL" displayName="TBTPERFIL" ref="H1:H4" totalsRowShown="0">
  <autoFilter ref="H1:H4" xr:uid="{0ADA22C5-06D9-41F9-93E9-2D44C790D38D}"/>
  <tableColumns count="1">
    <tableColumn id="1" xr3:uid="{086E29C0-F7F7-455D-8AB6-12937768BFBD}" name="PERFI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C39C6-65C0-4998-B425-4366E719855B}">
  <sheetPr codeName="Planilha1">
    <tabColor rgb="FF00565F"/>
    <pageSetUpPr autoPageBreaks="0"/>
  </sheetPr>
  <dimension ref="A1:T90"/>
  <sheetViews>
    <sheetView showGridLines="0" showRowColHeaders="0" tabSelected="1" zoomScale="90" zoomScaleNormal="90" workbookViewId="0">
      <selection activeCell="O11" sqref="O1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0" defaultRowHeight="14.4" zeroHeight="1"/>
  <cols>
    <col min="1" max="1" width="2.33203125" style="36" customWidth="1"/>
    <col min="2" max="2" width="1.5546875" customWidth="1"/>
    <col min="3" max="3" width="24.33203125" customWidth="1"/>
    <col min="4" max="4" width="22.33203125" bestFit="1" customWidth="1"/>
    <col min="5" max="5" width="25.88671875" bestFit="1" customWidth="1"/>
    <col min="6" max="6" width="19.88671875" bestFit="1" customWidth="1"/>
    <col min="7" max="7" width="20.109375" customWidth="1"/>
    <col min="8" max="8" width="0.77734375" customWidth="1"/>
    <col min="9" max="9" width="0.88671875" hidden="1" customWidth="1"/>
    <col min="10" max="10" width="0.88671875" customWidth="1"/>
    <col min="11" max="11" width="1.33203125" customWidth="1"/>
    <col min="12" max="12" width="17.33203125" customWidth="1"/>
    <col min="13" max="13" width="8.33203125" customWidth="1"/>
    <col min="14" max="14" width="13.77734375" customWidth="1"/>
    <col min="15" max="15" width="15.77734375" customWidth="1"/>
    <col min="16" max="16" width="1.21875" customWidth="1"/>
    <col min="17" max="18" width="19.77734375" bestFit="1" customWidth="1"/>
    <col min="19" max="19" width="1.5546875" customWidth="1"/>
    <col min="20" max="20" width="2.33203125" style="36" customWidth="1"/>
    <col min="21" max="16384" width="8.88671875" hidden="1"/>
  </cols>
  <sheetData>
    <row r="1" spans="1:20" s="36" customFormat="1" ht="90.6" customHeight="1">
      <c r="J1" s="37"/>
      <c r="K1" s="37"/>
    </row>
    <row r="2" spans="1:20" ht="4.2" customHeight="1">
      <c r="J2" s="38"/>
      <c r="K2" s="38"/>
    </row>
    <row r="3" spans="1:20" s="39" customFormat="1" ht="20.399999999999999" thickBot="1">
      <c r="A3" s="36"/>
      <c r="B3" s="39" t="s">
        <v>17</v>
      </c>
      <c r="J3" s="40"/>
      <c r="K3" s="40"/>
      <c r="T3" s="36"/>
    </row>
    <row r="4" spans="1:20" ht="12" customHeight="1" thickTop="1" thickBot="1">
      <c r="J4" s="36"/>
      <c r="K4" s="38"/>
    </row>
    <row r="5" spans="1:20" ht="27.6" thickBot="1">
      <c r="C5" s="120" t="s">
        <v>15</v>
      </c>
      <c r="D5" s="121"/>
      <c r="E5" s="121"/>
      <c r="F5" s="121"/>
      <c r="G5" s="121"/>
      <c r="J5" s="36"/>
      <c r="K5" s="38"/>
      <c r="L5" s="122" t="s">
        <v>39</v>
      </c>
      <c r="M5" s="123"/>
      <c r="N5" s="123"/>
      <c r="O5" s="124"/>
      <c r="Q5" s="122" t="s">
        <v>40</v>
      </c>
      <c r="R5" s="124"/>
    </row>
    <row r="6" spans="1:20" ht="21" customHeight="1" thickBot="1">
      <c r="C6" s="41" t="s">
        <v>13</v>
      </c>
      <c r="D6" s="42"/>
      <c r="E6" s="42"/>
      <c r="F6" s="42"/>
      <c r="G6" s="43">
        <v>1518</v>
      </c>
      <c r="J6" s="36"/>
      <c r="K6" s="38"/>
      <c r="L6" s="131" t="s">
        <v>19</v>
      </c>
      <c r="M6" s="142" t="s">
        <v>32</v>
      </c>
      <c r="N6" s="143"/>
      <c r="O6" s="144"/>
      <c r="Q6" s="131" t="s">
        <v>43</v>
      </c>
      <c r="R6" s="133">
        <v>5</v>
      </c>
    </row>
    <row r="7" spans="1:20" ht="19.8" thickBot="1">
      <c r="C7" s="44" t="s">
        <v>12</v>
      </c>
      <c r="D7" s="45"/>
      <c r="E7" s="45"/>
      <c r="G7" s="34">
        <v>0.01</v>
      </c>
      <c r="J7" s="36"/>
      <c r="K7" s="38"/>
      <c r="L7" s="141"/>
      <c r="M7" s="145"/>
      <c r="N7" s="146"/>
      <c r="O7" s="147"/>
      <c r="Q7" s="132"/>
      <c r="R7" s="134"/>
    </row>
    <row r="8" spans="1:20" ht="19.8" thickBot="1">
      <c r="C8" s="46" t="s">
        <v>14</v>
      </c>
      <c r="D8" s="47"/>
      <c r="E8" s="47"/>
      <c r="F8" s="47"/>
      <c r="G8" s="48">
        <f>G6*30%</f>
        <v>455.4</v>
      </c>
      <c r="J8" s="36"/>
      <c r="K8" s="38"/>
      <c r="L8" s="117" t="s">
        <v>20</v>
      </c>
      <c r="M8" s="118"/>
      <c r="N8" s="119"/>
      <c r="O8" s="35">
        <v>455.4</v>
      </c>
      <c r="Q8" s="135" t="s">
        <v>41</v>
      </c>
      <c r="R8" s="136"/>
    </row>
    <row r="9" spans="1:20">
      <c r="J9" s="36"/>
      <c r="K9" s="38"/>
    </row>
    <row r="10" spans="1:20" s="36" customFormat="1" ht="7.2" customHeight="1"/>
    <row r="11" spans="1:20" s="49" customFormat="1" ht="7.2" customHeight="1">
      <c r="A11" s="36"/>
      <c r="T11" s="36"/>
    </row>
    <row r="12" spans="1:20" s="39" customFormat="1" ht="15.6" customHeight="1" thickBot="1">
      <c r="A12" s="36"/>
      <c r="B12" s="39" t="s">
        <v>18</v>
      </c>
      <c r="T12" s="36"/>
    </row>
    <row r="13" spans="1:20" ht="15.6" thickTop="1" thickBot="1">
      <c r="C13" s="50"/>
      <c r="D13" s="50"/>
      <c r="E13" s="50"/>
      <c r="F13" s="50"/>
      <c r="G13" s="3"/>
    </row>
    <row r="14" spans="1:20" ht="22.8">
      <c r="C14" s="51" t="s">
        <v>16</v>
      </c>
      <c r="D14" s="52"/>
      <c r="E14" s="52"/>
      <c r="F14" s="52"/>
      <c r="G14" s="52"/>
      <c r="L14" s="129" t="s">
        <v>38</v>
      </c>
      <c r="M14" s="130"/>
      <c r="N14" s="130"/>
      <c r="O14" s="130"/>
      <c r="P14" s="130"/>
      <c r="Q14" s="130"/>
      <c r="R14" s="53" t="s">
        <v>10</v>
      </c>
    </row>
    <row r="15" spans="1:20" ht="16.2" thickBot="1">
      <c r="C15" s="54" t="s">
        <v>0</v>
      </c>
      <c r="D15" s="55"/>
      <c r="E15" s="55"/>
      <c r="F15" s="56"/>
      <c r="G15" s="57">
        <f>VALUE(O8)</f>
        <v>455.4</v>
      </c>
      <c r="L15" s="137" t="s">
        <v>5</v>
      </c>
      <c r="M15" s="138"/>
      <c r="N15" s="138"/>
      <c r="O15" s="138"/>
      <c r="P15" s="58"/>
      <c r="Q15" s="59">
        <f>FV(txr_mensal,'BASE DE DADOS DE APOIO'!$F2*12,Aporte*-1)</f>
        <v>12399.461471347631</v>
      </c>
      <c r="R15" s="60">
        <f>Q15*tx_carteira</f>
        <v>123.99461471347631</v>
      </c>
    </row>
    <row r="16" spans="1:20" ht="16.2" thickBot="1">
      <c r="C16" s="61" t="s">
        <v>1</v>
      </c>
      <c r="D16" s="62"/>
      <c r="E16" s="62"/>
      <c r="F16" s="63"/>
      <c r="G16" s="64">
        <f>VALUE(R6)</f>
        <v>5</v>
      </c>
      <c r="L16" s="127" t="s">
        <v>9</v>
      </c>
      <c r="M16" s="128"/>
      <c r="N16" s="128"/>
      <c r="O16" s="128"/>
      <c r="P16" s="65"/>
      <c r="Q16" s="59">
        <f>FV(txr_mensal,'BASE DE DADOS DE APOIO'!$F3*12,Aporte*-1)</f>
        <v>38152.006634911268</v>
      </c>
      <c r="R16" s="60">
        <f>Q16*tx_carteira</f>
        <v>381.52006634911271</v>
      </c>
    </row>
    <row r="17" spans="1:20" ht="17.399999999999999" thickBot="1">
      <c r="C17" s="66" t="s">
        <v>2</v>
      </c>
      <c r="D17" s="67"/>
      <c r="E17" s="67"/>
      <c r="G17" s="68">
        <v>1.0789999999999999E-2</v>
      </c>
      <c r="L17" s="139" t="s">
        <v>6</v>
      </c>
      <c r="M17" s="140"/>
      <c r="N17" s="140"/>
      <c r="O17" s="140"/>
      <c r="P17" s="58"/>
      <c r="Q17" s="59">
        <f>FV(txr_mensal,'BASE DE DADOS DE APOIO'!$F4*12,Aporte*-1)</f>
        <v>110791.63038624042</v>
      </c>
      <c r="R17" s="60">
        <f>Q17*tx_carteira</f>
        <v>1107.9163038624042</v>
      </c>
    </row>
    <row r="18" spans="1:20" ht="16.2" thickBot="1">
      <c r="C18" s="69" t="s">
        <v>3</v>
      </c>
      <c r="D18" s="70"/>
      <c r="E18" s="70"/>
      <c r="F18" s="70"/>
      <c r="G18" s="71">
        <f>FV(txr_mensal,AporteAno*12,Aporte*-1)</f>
        <v>38152.006634911268</v>
      </c>
      <c r="L18" s="69" t="s">
        <v>7</v>
      </c>
      <c r="M18" s="58"/>
      <c r="N18" s="58"/>
      <c r="O18" s="58"/>
      <c r="P18" s="58"/>
      <c r="Q18" s="59">
        <f>FV(txr_mensal,'BASE DE DADOS DE APOIO'!$F5*12,Aporte*-1)</f>
        <v>512415.35140421049</v>
      </c>
      <c r="R18" s="60">
        <f>Q18*tx_carteira</f>
        <v>5124.1535140421047</v>
      </c>
    </row>
    <row r="19" spans="1:20" ht="16.2" thickBot="1">
      <c r="C19" s="72" t="s">
        <v>4</v>
      </c>
      <c r="D19" s="73"/>
      <c r="E19" s="73"/>
      <c r="F19" s="74"/>
      <c r="G19" s="75">
        <f>G18*tx_carteira</f>
        <v>381.52006634911271</v>
      </c>
      <c r="L19" s="125" t="s">
        <v>8</v>
      </c>
      <c r="M19" s="126"/>
      <c r="N19" s="126"/>
      <c r="O19" s="126"/>
      <c r="P19" s="76"/>
      <c r="Q19" s="77">
        <f>FV(txr_mensal,'BASE DE DADOS DE APOIO'!$F6*12,Aporte*-1)</f>
        <v>1968316.060889147</v>
      </c>
      <c r="R19" s="78">
        <f>Q19*tx_carteira</f>
        <v>19683.16060889147</v>
      </c>
    </row>
    <row r="20" spans="1:20"/>
    <row r="21" spans="1:20" s="36" customFormat="1" ht="7.2" customHeight="1"/>
    <row r="22" spans="1:20" s="39" customFormat="1" ht="24" customHeight="1" thickBot="1">
      <c r="A22" s="36"/>
      <c r="B22" s="39" t="s">
        <v>29</v>
      </c>
      <c r="T22" s="36"/>
    </row>
    <row r="23" spans="1:20" s="79" customFormat="1" ht="10.199999999999999" customHeight="1" thickTop="1">
      <c r="A23" s="36"/>
      <c r="T23" s="36"/>
    </row>
    <row r="24" spans="1:20" ht="16.8">
      <c r="C24" s="80" t="s">
        <v>44</v>
      </c>
      <c r="D24" s="80"/>
      <c r="E24" s="80"/>
      <c r="F24" s="113" t="str">
        <f>$M$6</f>
        <v>AGRESSIVO</v>
      </c>
      <c r="G24" s="113"/>
      <c r="L24" s="81" t="s">
        <v>74</v>
      </c>
    </row>
    <row r="25" spans="1:20" ht="9.6" customHeight="1" thickBot="1">
      <c r="L25" s="82"/>
      <c r="M25" s="82"/>
      <c r="N25" s="82"/>
    </row>
    <row r="26" spans="1:20" ht="23.4" thickBot="1">
      <c r="C26" s="110" t="s">
        <v>28</v>
      </c>
      <c r="D26" s="111"/>
      <c r="E26" s="111"/>
      <c r="F26" s="111"/>
      <c r="G26" s="112"/>
    </row>
    <row r="27" spans="1:20" ht="18" thickBot="1">
      <c r="C27" s="83" t="s">
        <v>48</v>
      </c>
      <c r="D27" s="114" t="s">
        <v>42</v>
      </c>
      <c r="E27" s="114"/>
      <c r="F27" s="114"/>
      <c r="G27" s="84" t="s">
        <v>21</v>
      </c>
    </row>
    <row r="28" spans="1:20" ht="15.6" thickBot="1">
      <c r="C28" s="85" t="s">
        <v>22</v>
      </c>
      <c r="D28" s="115">
        <f>VLOOKUP($M$6&amp;"-"&amp;C28,'BASE DE DADOS DE APOIO'!$A$1:$D$19,4,)</f>
        <v>0.25</v>
      </c>
      <c r="E28" s="115"/>
      <c r="F28" s="115"/>
      <c r="G28" s="86">
        <f t="shared" ref="G28:G33" si="0">D28*$O$8</f>
        <v>113.85</v>
      </c>
    </row>
    <row r="29" spans="1:20" ht="16.2" thickBot="1">
      <c r="C29" s="87" t="s">
        <v>23</v>
      </c>
      <c r="D29" s="116">
        <f>VLOOKUP($M$6&amp;"-"&amp;C29,'BASE DE DADOS DE APOIO'!$A$1:$D$19,4,)</f>
        <v>0.25</v>
      </c>
      <c r="E29" s="116"/>
      <c r="F29" s="116"/>
      <c r="G29" s="88">
        <f t="shared" si="0"/>
        <v>113.85</v>
      </c>
    </row>
    <row r="30" spans="1:20" ht="15.6" thickBot="1">
      <c r="C30" s="85" t="s">
        <v>24</v>
      </c>
      <c r="D30" s="109">
        <f>VLOOKUP($M$6&amp;"-"&amp;C30,'BASE DE DADOS DE APOIO'!$A$1:$D$19,4,)</f>
        <v>0</v>
      </c>
      <c r="E30" s="109"/>
      <c r="F30" s="109"/>
      <c r="G30" s="86">
        <f t="shared" si="0"/>
        <v>0</v>
      </c>
    </row>
    <row r="31" spans="1:20" ht="15.6" thickBot="1">
      <c r="C31" s="85" t="s">
        <v>25</v>
      </c>
      <c r="D31" s="109">
        <f>VLOOKUP($M$6&amp;"-"&amp;C31,'BASE DE DADOS DE APOIO'!$A$1:$D$19,4,)</f>
        <v>0.5</v>
      </c>
      <c r="E31" s="109"/>
      <c r="F31" s="109"/>
      <c r="G31" s="86">
        <f t="shared" si="0"/>
        <v>227.7</v>
      </c>
    </row>
    <row r="32" spans="1:20" ht="16.2" thickBot="1">
      <c r="C32" s="87" t="s">
        <v>26</v>
      </c>
      <c r="D32" s="108">
        <f>VLOOKUP($M$6&amp;"-"&amp;C32,'BASE DE DADOS DE APOIO'!$A$1:$D$19,4,)</f>
        <v>0</v>
      </c>
      <c r="E32" s="108"/>
      <c r="F32" s="108"/>
      <c r="G32" s="88">
        <f t="shared" si="0"/>
        <v>0</v>
      </c>
    </row>
    <row r="33" spans="3:7" ht="15.6" thickBot="1">
      <c r="C33" s="85" t="s">
        <v>27</v>
      </c>
      <c r="D33" s="109">
        <f>VLOOKUP($M$6&amp;"-"&amp;C33,'BASE DE DADOS DE APOIO'!$A$1:$D$19,4,)</f>
        <v>0</v>
      </c>
      <c r="E33" s="109"/>
      <c r="F33" s="109"/>
      <c r="G33" s="86">
        <f t="shared" si="0"/>
        <v>0</v>
      </c>
    </row>
    <row r="34" spans="3:7" ht="19.8" thickBot="1">
      <c r="C34" s="148" t="s">
        <v>37</v>
      </c>
      <c r="D34" s="149"/>
      <c r="E34" s="149"/>
      <c r="F34" s="150"/>
      <c r="G34" s="89">
        <f>SUM(G28:G33)</f>
        <v>455.4</v>
      </c>
    </row>
    <row r="35" spans="3:7" ht="15" thickBot="1"/>
    <row r="36" spans="3:7" ht="22.8">
      <c r="C36" s="90" t="s">
        <v>47</v>
      </c>
      <c r="D36" s="91"/>
      <c r="E36" s="107" t="s">
        <v>84</v>
      </c>
      <c r="F36" s="151" t="e">
        <f ca="1">VLOOKUP(FIIS!$K$1&amp;"-"&amp;APP!C38,'FIIS-DADOS '!A2:K20,3,)</f>
        <v>#N/A</v>
      </c>
      <c r="G36" s="152"/>
    </row>
    <row r="37" spans="3:7" ht="17.399999999999999">
      <c r="C37" s="92" t="s">
        <v>75</v>
      </c>
      <c r="D37" s="93" t="s">
        <v>81</v>
      </c>
      <c r="E37" s="93" t="s">
        <v>82</v>
      </c>
      <c r="F37" s="93" t="s">
        <v>83</v>
      </c>
      <c r="G37" s="94" t="s">
        <v>49</v>
      </c>
    </row>
    <row r="38" spans="3:7" ht="15">
      <c r="C38" s="95" t="str" cm="1">
        <f t="array" aca="1" ref="C38:G55" ca="1">_xlfn.PIVOTBY(Tabela6[FIIS],,Tabela6[[R$ VALOR  FII]:[RENDIMENTO MENSAL]],_xleta.SUM,0,,,,,_xlfn.BYROW(Tabela6[CATEGORIA],_xlfn.LAMBDA(_xlpm.X,SUBTOTAL(3,_xlpm.X))))</f>
        <v>BCFF11</v>
      </c>
      <c r="D38" s="96">
        <f ca="1"/>
        <v>0</v>
      </c>
      <c r="E38" s="96">
        <f ca="1"/>
        <v>48.8215</v>
      </c>
      <c r="F38" s="97">
        <f ca="1"/>
        <v>0</v>
      </c>
      <c r="G38" s="98">
        <f ca="1"/>
        <v>0</v>
      </c>
    </row>
    <row r="39" spans="3:7" ht="15">
      <c r="C39" s="99" t="str">
        <f ca="1"/>
        <v>BCRI11</v>
      </c>
      <c r="D39" s="100">
        <f ca="1"/>
        <v>22.77</v>
      </c>
      <c r="E39" s="100">
        <f ca="1"/>
        <v>68.400000000000006</v>
      </c>
      <c r="F39" s="101">
        <f ca="1"/>
        <v>0</v>
      </c>
      <c r="G39" s="102">
        <f ca="1"/>
        <v>0</v>
      </c>
    </row>
    <row r="40" spans="3:7" ht="15">
      <c r="C40" s="99" t="str">
        <f ca="1"/>
        <v>BLMG11</v>
      </c>
      <c r="D40" s="100">
        <f ca="1"/>
        <v>16.264285714285712</v>
      </c>
      <c r="E40" s="100">
        <f ca="1"/>
        <v>34.4</v>
      </c>
      <c r="F40" s="101">
        <f ca="1"/>
        <v>0</v>
      </c>
      <c r="G40" s="102">
        <f ca="1"/>
        <v>0</v>
      </c>
    </row>
    <row r="41" spans="3:7" ht="15">
      <c r="C41" s="99" t="str">
        <f ca="1"/>
        <v>CPSH11</v>
      </c>
      <c r="D41" s="100">
        <f ca="1"/>
        <v>16.264285714285712</v>
      </c>
      <c r="E41" s="100">
        <f ca="1"/>
        <v>11.04</v>
      </c>
      <c r="F41" s="101">
        <f ca="1"/>
        <v>1</v>
      </c>
      <c r="G41" s="102">
        <f ca="1"/>
        <v>0.1104</v>
      </c>
    </row>
    <row r="42" spans="3:7" ht="15">
      <c r="C42" s="99" t="str">
        <f ca="1"/>
        <v>CPTS11</v>
      </c>
      <c r="D42" s="100">
        <f ca="1"/>
        <v>22.77</v>
      </c>
      <c r="E42" s="100">
        <f ca="1"/>
        <v>7.7</v>
      </c>
      <c r="F42" s="101">
        <f ca="1"/>
        <v>2</v>
      </c>
      <c r="G42" s="102">
        <f ca="1"/>
        <v>0.154</v>
      </c>
    </row>
    <row r="43" spans="3:7" ht="15">
      <c r="C43" s="99" t="str">
        <f ca="1"/>
        <v>FIVN11</v>
      </c>
      <c r="D43" s="100">
        <f ca="1"/>
        <v>0</v>
      </c>
      <c r="E43" s="100">
        <f ca="1"/>
        <v>3.14</v>
      </c>
      <c r="F43" s="101">
        <f ca="1"/>
        <v>0</v>
      </c>
      <c r="G43" s="102">
        <f ca="1"/>
        <v>0</v>
      </c>
    </row>
    <row r="44" spans="3:7" ht="15">
      <c r="C44" s="99" t="str">
        <f ca="1"/>
        <v>GZIT11</v>
      </c>
      <c r="D44" s="100">
        <f ca="1"/>
        <v>16.264285714285712</v>
      </c>
      <c r="E44" s="100">
        <f ca="1"/>
        <v>45.1</v>
      </c>
      <c r="F44" s="101">
        <f ca="1"/>
        <v>0</v>
      </c>
      <c r="G44" s="102">
        <f ca="1"/>
        <v>0</v>
      </c>
    </row>
    <row r="45" spans="3:7" ht="15">
      <c r="C45" s="99" t="str">
        <f ca="1"/>
        <v>HCTR11</v>
      </c>
      <c r="D45" s="100">
        <f ca="1"/>
        <v>22.77</v>
      </c>
      <c r="E45" s="100">
        <f ca="1"/>
        <v>41.3</v>
      </c>
      <c r="F45" s="101">
        <f ca="1"/>
        <v>1</v>
      </c>
      <c r="G45" s="102">
        <f ca="1"/>
        <v>0.20649999999999999</v>
      </c>
    </row>
    <row r="46" spans="3:7" ht="15">
      <c r="C46" s="99" t="str">
        <f ca="1"/>
        <v>HFOF11</v>
      </c>
      <c r="D46" s="100">
        <f ca="1"/>
        <v>113.85</v>
      </c>
      <c r="E46" s="100">
        <f ca="1"/>
        <v>6.57</v>
      </c>
      <c r="F46" s="101">
        <f ca="1"/>
        <v>17</v>
      </c>
      <c r="G46" s="102">
        <f ca="1"/>
        <v>1.1169</v>
      </c>
    </row>
    <row r="47" spans="3:7" ht="15">
      <c r="C47" s="99" t="str">
        <f ca="1"/>
        <v>HGRE11</v>
      </c>
      <c r="D47" s="100">
        <f ca="1"/>
        <v>16.264285714285712</v>
      </c>
      <c r="E47" s="100">
        <f ca="1"/>
        <v>126.2</v>
      </c>
      <c r="F47" s="101">
        <f ca="1"/>
        <v>0</v>
      </c>
      <c r="G47" s="102">
        <f ca="1"/>
        <v>0</v>
      </c>
    </row>
    <row r="48" spans="3:7" ht="15">
      <c r="C48" s="99" t="str">
        <f ca="1"/>
        <v>HTMX11</v>
      </c>
      <c r="D48" s="100">
        <f ca="1"/>
        <v>0</v>
      </c>
      <c r="E48" s="100">
        <f ca="1"/>
        <v>149.75</v>
      </c>
      <c r="F48" s="101">
        <f ca="1"/>
        <v>0</v>
      </c>
      <c r="G48" s="102">
        <f ca="1"/>
        <v>0</v>
      </c>
    </row>
    <row r="49" spans="3:7" ht="15">
      <c r="C49" s="99" t="str">
        <f ca="1"/>
        <v>KIVO11</v>
      </c>
      <c r="D49" s="100">
        <f ca="1"/>
        <v>22.77</v>
      </c>
      <c r="E49" s="100">
        <f ca="1"/>
        <v>64.849999999999994</v>
      </c>
      <c r="F49" s="101">
        <f ca="1"/>
        <v>0</v>
      </c>
      <c r="G49" s="102">
        <f ca="1"/>
        <v>0</v>
      </c>
    </row>
    <row r="50" spans="3:7" ht="15">
      <c r="C50" s="99" t="str">
        <f ca="1"/>
        <v>PVBI11</v>
      </c>
      <c r="D50" s="100">
        <f ca="1"/>
        <v>16.264285714285712</v>
      </c>
      <c r="E50" s="100">
        <f ca="1"/>
        <v>82.11</v>
      </c>
      <c r="F50" s="101">
        <f ca="1"/>
        <v>0</v>
      </c>
      <c r="G50" s="102">
        <f ca="1"/>
        <v>0</v>
      </c>
    </row>
    <row r="51" spans="3:7" ht="15">
      <c r="C51" s="99" t="str">
        <f ca="1"/>
        <v>RELG11</v>
      </c>
      <c r="D51" s="100">
        <f ca="1"/>
        <v>16.264285714285712</v>
      </c>
      <c r="E51" s="100">
        <f ca="1"/>
        <v>65.97</v>
      </c>
      <c r="F51" s="101">
        <f ca="1"/>
        <v>0</v>
      </c>
      <c r="G51" s="102">
        <f ca="1"/>
        <v>0</v>
      </c>
    </row>
    <row r="52" spans="3:7" ht="15">
      <c r="C52" s="99" t="str">
        <f ca="1"/>
        <v>RZTR11</v>
      </c>
      <c r="D52" s="100">
        <f ca="1"/>
        <v>22.77</v>
      </c>
      <c r="E52" s="100">
        <f ca="1"/>
        <v>98.17</v>
      </c>
      <c r="F52" s="101">
        <f ca="1"/>
        <v>0</v>
      </c>
      <c r="G52" s="102">
        <f ca="1"/>
        <v>0</v>
      </c>
    </row>
    <row r="53" spans="3:7" ht="15">
      <c r="C53" s="99" t="str">
        <f ca="1"/>
        <v>SNFF11</v>
      </c>
      <c r="D53" s="100">
        <f ca="1"/>
        <v>113.85</v>
      </c>
      <c r="E53" s="100">
        <f ca="1"/>
        <v>152.26</v>
      </c>
      <c r="F53" s="101">
        <f ca="1"/>
        <v>1</v>
      </c>
      <c r="G53" s="102">
        <f ca="1"/>
        <v>0.76129999999999998</v>
      </c>
    </row>
    <row r="54" spans="3:7" ht="15">
      <c r="C54" s="99" t="str">
        <f ca="1"/>
        <v>XPML11</v>
      </c>
      <c r="D54" s="100">
        <f ca="1"/>
        <v>16.264285714285712</v>
      </c>
      <c r="E54" s="100">
        <f ca="1"/>
        <v>108.07</v>
      </c>
      <c r="F54" s="101">
        <f ca="1"/>
        <v>0</v>
      </c>
      <c r="G54" s="102">
        <f ca="1"/>
        <v>0</v>
      </c>
    </row>
    <row r="55" spans="3:7" ht="19.8" thickBot="1">
      <c r="C55" s="103" t="str">
        <f ca="1"/>
        <v>Total</v>
      </c>
      <c r="D55" s="104">
        <f ca="1"/>
        <v>455.4</v>
      </c>
      <c r="E55" s="104">
        <f ca="1"/>
        <v>1113.8515000000002</v>
      </c>
      <c r="F55" s="105">
        <f ca="1"/>
        <v>22</v>
      </c>
      <c r="G55" s="106">
        <f ca="1"/>
        <v>2.3491</v>
      </c>
    </row>
    <row r="56" spans="3:7"/>
    <row r="57" spans="3:7"/>
    <row r="58" spans="3:7"/>
    <row r="59" spans="3:7"/>
    <row r="60" spans="3:7"/>
    <row r="61" spans="3:7"/>
    <row r="62" spans="3:7"/>
    <row r="63" spans="3:7" s="36" customFormat="1" ht="7.2" customHeight="1"/>
    <row r="64" spans="3:7"/>
    <row r="65" s="36" customFormat="1" ht="7.2" customHeight="1"/>
    <row r="66" s="36" customFormat="1" ht="7.2" customHeight="1"/>
    <row r="67" s="36" customFormat="1" ht="7.2" customHeight="1"/>
    <row r="68" s="36" customFormat="1" ht="7.2" customHeight="1"/>
    <row r="69" s="36" customFormat="1" ht="7.2" customHeight="1"/>
    <row r="70" s="36" customFormat="1" ht="7.2" customHeight="1"/>
    <row r="71" s="36" customFormat="1" ht="7.2" customHeight="1"/>
    <row r="72" s="36" customFormat="1" ht="7.2" customHeight="1"/>
    <row r="73" s="36" customFormat="1" ht="7.2" customHeight="1"/>
    <row r="74" s="36" customFormat="1" ht="7.2" customHeight="1"/>
    <row r="75" s="36" customFormat="1" ht="7.2" customHeight="1"/>
    <row r="76" s="36" customFormat="1" ht="7.2" customHeight="1"/>
    <row r="77" s="36" customFormat="1" ht="7.2" customHeight="1"/>
    <row r="78" s="36" customFormat="1" ht="7.2" customHeight="1"/>
    <row r="79" s="36" customFormat="1" ht="7.2" customHeight="1"/>
    <row r="80" s="36" customFormat="1" ht="7.2" customHeight="1"/>
    <row r="81" s="36" customFormat="1" ht="7.2" customHeight="1"/>
    <row r="82" s="36" customFormat="1" ht="7.2" customHeight="1"/>
    <row r="83" s="36" customFormat="1" ht="7.2" customHeight="1"/>
    <row r="84" s="36" customFormat="1" ht="7.2" customHeight="1"/>
    <row r="85" s="36" customFormat="1" ht="7.2" customHeight="1"/>
    <row r="86" s="36" customFormat="1" ht="7.2" customHeight="1"/>
    <row r="87"/>
    <row r="88"/>
    <row r="89"/>
    <row r="90"/>
  </sheetData>
  <sheetProtection sort="0" autoFilter="0" pivotTables="0"/>
  <mergeCells count="25">
    <mergeCell ref="L8:N8"/>
    <mergeCell ref="C5:G5"/>
    <mergeCell ref="L5:O5"/>
    <mergeCell ref="L19:O19"/>
    <mergeCell ref="L16:O16"/>
    <mergeCell ref="L14:Q14"/>
    <mergeCell ref="Q5:R5"/>
    <mergeCell ref="Q6:Q7"/>
    <mergeCell ref="R6:R7"/>
    <mergeCell ref="Q8:R8"/>
    <mergeCell ref="L15:O15"/>
    <mergeCell ref="L17:O17"/>
    <mergeCell ref="L6:L7"/>
    <mergeCell ref="M6:O7"/>
    <mergeCell ref="F36:G36"/>
    <mergeCell ref="D32:F32"/>
    <mergeCell ref="D33:F33"/>
    <mergeCell ref="C26:G26"/>
    <mergeCell ref="F24:G24"/>
    <mergeCell ref="D27:F27"/>
    <mergeCell ref="D28:F28"/>
    <mergeCell ref="D29:F29"/>
    <mergeCell ref="D30:F30"/>
    <mergeCell ref="D31:F31"/>
    <mergeCell ref="C34:F34"/>
  </mergeCells>
  <conditionalFormatting sqref="C24:F24 H24">
    <cfRule type="containsText" dxfId="41" priority="47" operator="containsText" text="CONSERVADOR">
      <formula>NOT(ISERROR(SEARCH("CONSERVADOR",C24)))</formula>
    </cfRule>
    <cfRule type="containsText" dxfId="40" priority="48" operator="containsText" text="MODERADO">
      <formula>NOT(ISERROR(SEARCH("MODERADO",C24)))</formula>
    </cfRule>
    <cfRule type="containsText" dxfId="39" priority="49" operator="containsText" text="AGRESSIVO">
      <formula>NOT(ISERROR(SEARCH("AGRESSIVO",C24)))</formula>
    </cfRule>
  </conditionalFormatting>
  <conditionalFormatting sqref="C38:G55">
    <cfRule type="expression" dxfId="38" priority="4">
      <formula>$C38:$C55="XPML11"</formula>
    </cfRule>
    <cfRule type="expression" dxfId="37" priority="5">
      <formula>$C38:$C55="SNFF11"</formula>
    </cfRule>
    <cfRule type="expression" dxfId="36" priority="6">
      <formula>$C38:$C55="RZTR11"</formula>
    </cfRule>
    <cfRule type="expression" dxfId="35" priority="7">
      <formula>$C38:$C55="RELG11"</formula>
    </cfRule>
    <cfRule type="expression" dxfId="34" priority="8">
      <formula>$C38:$C55="PVBI11"</formula>
    </cfRule>
    <cfRule type="expression" dxfId="33" priority="9">
      <formula>$C38:$C55="KIVO11"</formula>
    </cfRule>
    <cfRule type="expression" dxfId="32" priority="10">
      <formula>$C38:$C55="HTMX11"</formula>
    </cfRule>
    <cfRule type="expression" dxfId="31" priority="11">
      <formula>$C38:$C55="HGRE11"</formula>
    </cfRule>
    <cfRule type="expression" dxfId="30" priority="12">
      <formula>$C38:$C55="HFOF11"</formula>
    </cfRule>
    <cfRule type="expression" dxfId="29" priority="13">
      <formula>$C38:$C55="HCTR11"</formula>
    </cfRule>
    <cfRule type="expression" dxfId="28" priority="14">
      <formula>$C38:$C55="GZIT11"</formula>
    </cfRule>
    <cfRule type="expression" dxfId="27" priority="15">
      <formula>$C38:$C55="FIVN11"</formula>
    </cfRule>
    <cfRule type="expression" dxfId="26" priority="16">
      <formula>$C38:$C55="CPTS11"</formula>
    </cfRule>
    <cfRule type="expression" dxfId="25" priority="17">
      <formula>$C38:$C55="CPSH11"</formula>
    </cfRule>
    <cfRule type="expression" dxfId="24" priority="18">
      <formula>$C38:$C55="BLMG11"</formula>
    </cfRule>
    <cfRule type="expression" dxfId="23" priority="19">
      <formula>$C38:$C55="BCRI11"</formula>
    </cfRule>
    <cfRule type="expression" dxfId="22" priority="20">
      <formula>$C38:$C55="BCFF11"</formula>
    </cfRule>
    <cfRule type="expression" dxfId="21" priority="23">
      <formula>$C38:$C55="Total"</formula>
    </cfRule>
  </conditionalFormatting>
  <conditionalFormatting sqref="M6">
    <cfRule type="colorScale" priority="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36">
    <cfRule type="colorScale" priority="1">
      <colorScale>
        <cfvo type="min"/>
        <cfvo type="max"/>
        <color rgb="FF63BE7B"/>
        <color rgb="FFFFEF9C"/>
      </colorScale>
    </cfRule>
  </conditionalFormatting>
  <dataValidations count="2">
    <dataValidation allowBlank="1" showInputMessage="1" showErrorMessage="1" promptTitle="MENSAGEM" prompt="Digite o total de anos que você deseja simular!" sqref="R6:R7" xr:uid="{B183B042-D529-4B63-9709-4C485F1F07FA}"/>
    <dataValidation allowBlank="1" showInputMessage="1" showErrorMessage="1" promptTitle="MENSAGEM" prompt="Digite o valor/aporte, que você deseja investir por mês!" sqref="O8" xr:uid="{71CD49D8-EDA8-419F-A65D-15D8DAEDE823}"/>
  </dataValidations>
  <pageMargins left="0.25" right="0.25" top="0.75" bottom="0.75" header="0.3" footer="0.3"/>
  <pageSetup paperSize="9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MENSAGEM" prompt="Selecione seu perfil de investidor!_x000a_" xr:uid="{9FB139D9-0160-4338-B397-6A27DD1E856F}">
          <x14:formula1>
            <xm:f>'BASE DE DADOS DE APOIO'!$H$2:$H$4</xm:f>
          </x14:formula1>
          <xm:sqref>M6</xm:sqref>
        </x14:dataValidation>
      </x14:dataValidations>
    </ex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7C31B-801D-4179-9256-F6756323C98D}">
  <sheetPr codeName="Planilha2"/>
  <dimension ref="A1:O21"/>
  <sheetViews>
    <sheetView workbookViewId="0">
      <selection activeCell="D23" sqref="D23"/>
    </sheetView>
  </sheetViews>
  <sheetFormatPr defaultRowHeight="14.4"/>
  <cols>
    <col min="1" max="1" width="25" bestFit="1" customWidth="1"/>
    <col min="2" max="2" width="49.109375" bestFit="1" customWidth="1"/>
    <col min="3" max="3" width="17.6640625" bestFit="1" customWidth="1"/>
    <col min="4" max="4" width="7.77734375" bestFit="1" customWidth="1"/>
    <col min="5" max="5" width="10.6640625" customWidth="1"/>
    <col min="6" max="6" width="11" customWidth="1"/>
    <col min="7" max="7" width="10.21875" bestFit="1" customWidth="1"/>
    <col min="8" max="8" width="13.33203125" bestFit="1" customWidth="1"/>
    <col min="9" max="9" width="14" hidden="1" customWidth="1"/>
    <col min="10" max="10" width="13.5546875" bestFit="1" customWidth="1"/>
    <col min="11" max="11" width="13.44140625" bestFit="1" customWidth="1"/>
    <col min="12" max="12" width="17.6640625" bestFit="1" customWidth="1"/>
    <col min="13" max="13" width="25" bestFit="1" customWidth="1"/>
    <col min="14" max="14" width="18.109375" bestFit="1" customWidth="1"/>
    <col min="15" max="15" width="5.5546875" bestFit="1" customWidth="1"/>
    <col min="16" max="16" width="8.21875" bestFit="1" customWidth="1"/>
    <col min="17" max="17" width="10" bestFit="1" customWidth="1"/>
  </cols>
  <sheetData>
    <row r="1" spans="1:15" ht="15.6">
      <c r="A1" s="14" t="s">
        <v>80</v>
      </c>
      <c r="B1" s="14"/>
      <c r="C1" s="14" t="s">
        <v>48</v>
      </c>
      <c r="D1" s="14" t="s">
        <v>45</v>
      </c>
      <c r="E1" s="14" t="s">
        <v>70</v>
      </c>
      <c r="F1" s="14" t="s">
        <v>52</v>
      </c>
      <c r="G1" s="14" t="s">
        <v>50</v>
      </c>
      <c r="H1" s="14" t="s">
        <v>51</v>
      </c>
      <c r="I1" s="14" t="s">
        <v>72</v>
      </c>
      <c r="J1" s="14" t="s">
        <v>49</v>
      </c>
      <c r="K1" s="14" t="s">
        <v>71</v>
      </c>
    </row>
    <row r="2" spans="1:15" ht="14.4" customHeight="1">
      <c r="A2" t="str">
        <f>tbt_fiis[[#This Row],[Categoria]]&amp;"-"&amp;tbt_fiis[[#This Row],[FIIS]]</f>
        <v>PAPEL-KIVO11</v>
      </c>
      <c r="B2" t="e" vm="1">
        <v>#VALUE!</v>
      </c>
      <c r="C2" t="s">
        <v>22</v>
      </c>
      <c r="D2" t="s">
        <v>53</v>
      </c>
      <c r="E2" s="18">
        <f>VALUE(APP!$G$28)</f>
        <v>113.85</v>
      </c>
      <c r="F2" s="12" cm="1">
        <f t="array" aca="1" ref="F2" ca="1">_FV(B2,"Preço")</f>
        <v>64.849999999999994</v>
      </c>
      <c r="G2" s="13">
        <f t="shared" ref="G2:G20" si="0">E2/K2</f>
        <v>22.77</v>
      </c>
      <c r="H2">
        <f ca="1">INT(G2 / F2)</f>
        <v>0</v>
      </c>
      <c r="I2" s="12">
        <f t="shared" ref="I2:I13" ca="1" si="1">H2*F2</f>
        <v>0</v>
      </c>
      <c r="J2" s="18">
        <f t="shared" ref="J2:J20" ca="1" si="2">I2*tx_carteira</f>
        <v>0</v>
      </c>
      <c r="K2">
        <f>COUNTIF($C:$C,tbt_fiis[[#This Row],[Categoria]])</f>
        <v>5</v>
      </c>
    </row>
    <row r="3" spans="1:15">
      <c r="A3" t="str">
        <f>tbt_fiis[[#This Row],[Categoria]]&amp;"-"&amp;tbt_fiis[[#This Row],[FIIS]]</f>
        <v>PAPEL-BCRI11</v>
      </c>
      <c r="B3" t="e" vm="2">
        <v>#VALUE!</v>
      </c>
      <c r="C3" t="s">
        <v>22</v>
      </c>
      <c r="D3" t="s">
        <v>54</v>
      </c>
      <c r="E3" s="18">
        <f>VALUE(APP!$G$28)</f>
        <v>113.85</v>
      </c>
      <c r="F3" s="12" cm="1">
        <f t="array" aca="1" ref="F3" ca="1">_FV(B3,"Preço")</f>
        <v>68.400000000000006</v>
      </c>
      <c r="G3" s="13">
        <f t="shared" si="0"/>
        <v>22.77</v>
      </c>
      <c r="H3">
        <f t="shared" ref="H3:H20" ca="1" si="3">INT(G3/F3)</f>
        <v>0</v>
      </c>
      <c r="I3" s="12">
        <f t="shared" ca="1" si="1"/>
        <v>0</v>
      </c>
      <c r="J3" s="18">
        <f t="shared" ca="1" si="2"/>
        <v>0</v>
      </c>
      <c r="K3">
        <f>COUNTIF($C:$C,tbt_fiis[[#This Row],[Categoria]])</f>
        <v>5</v>
      </c>
    </row>
    <row r="4" spans="1:15">
      <c r="A4" t="str">
        <f>tbt_fiis[[#This Row],[Categoria]]&amp;"-"&amp;tbt_fiis[[#This Row],[FIIS]]</f>
        <v>PAPEL-HCTR11</v>
      </c>
      <c r="B4" t="e" vm="3">
        <v>#VALUE!</v>
      </c>
      <c r="C4" t="s">
        <v>22</v>
      </c>
      <c r="D4" t="s">
        <v>55</v>
      </c>
      <c r="E4" s="18">
        <f>VALUE(APP!$G$28)</f>
        <v>113.85</v>
      </c>
      <c r="F4" s="12" cm="1">
        <f t="array" aca="1" ref="F4" ca="1">_FV(B4,"Preço")</f>
        <v>20.65</v>
      </c>
      <c r="G4" s="13">
        <f t="shared" si="0"/>
        <v>22.77</v>
      </c>
      <c r="H4">
        <f t="shared" ca="1" si="3"/>
        <v>1</v>
      </c>
      <c r="I4" s="12">
        <f t="shared" ca="1" si="1"/>
        <v>20.65</v>
      </c>
      <c r="J4" s="18">
        <f t="shared" ca="1" si="2"/>
        <v>0.20649999999999999</v>
      </c>
      <c r="K4">
        <f>COUNTIF($C:$C,tbt_fiis[[#This Row],[Categoria]])</f>
        <v>5</v>
      </c>
      <c r="N4" s="22"/>
      <c r="O4" s="1"/>
    </row>
    <row r="5" spans="1:15">
      <c r="A5" t="str">
        <f>tbt_fiis[[#This Row],[Categoria]]&amp;"-"&amp;tbt_fiis[[#This Row],[FIIS]]</f>
        <v>PAPEL-RZTR11</v>
      </c>
      <c r="B5" t="e" vm="4">
        <v>#VALUE!</v>
      </c>
      <c r="C5" t="s">
        <v>22</v>
      </c>
      <c r="D5" t="s">
        <v>56</v>
      </c>
      <c r="E5" s="18">
        <f>VALUE(APP!$G$28)</f>
        <v>113.85</v>
      </c>
      <c r="F5" s="12" cm="1">
        <f t="array" aca="1" ref="F5" ca="1">_FV(B5,"Preço")</f>
        <v>98.17</v>
      </c>
      <c r="G5" s="13">
        <f t="shared" si="0"/>
        <v>22.77</v>
      </c>
      <c r="H5">
        <f t="shared" ca="1" si="3"/>
        <v>0</v>
      </c>
      <c r="I5" s="12">
        <f t="shared" ca="1" si="1"/>
        <v>0</v>
      </c>
      <c r="J5" s="18">
        <f t="shared" ca="1" si="2"/>
        <v>0</v>
      </c>
      <c r="K5">
        <f>COUNTIF($C:$C,tbt_fiis[[#This Row],[Categoria]])</f>
        <v>5</v>
      </c>
      <c r="N5" s="22"/>
      <c r="O5" s="1"/>
    </row>
    <row r="6" spans="1:15" ht="15" thickBot="1">
      <c r="A6" t="str">
        <f>tbt_fiis[[#This Row],[Categoria]]&amp;"-"&amp;tbt_fiis[[#This Row],[FIIS]]</f>
        <v>PAPEL-CPTS11</v>
      </c>
      <c r="B6" s="15" t="e" vm="5">
        <v>#VALUE!</v>
      </c>
      <c r="C6" s="15" t="s">
        <v>22</v>
      </c>
      <c r="D6" s="15" t="s">
        <v>57</v>
      </c>
      <c r="E6" s="19">
        <f>VALUE(APP!$G$28)</f>
        <v>113.85</v>
      </c>
      <c r="F6" s="12" cm="1">
        <f t="array" aca="1" ref="F6" ca="1">_FV(B6,"Preço")</f>
        <v>7.7</v>
      </c>
      <c r="G6" s="16">
        <f t="shared" si="0"/>
        <v>22.77</v>
      </c>
      <c r="H6" s="15">
        <f t="shared" ca="1" si="3"/>
        <v>2</v>
      </c>
      <c r="I6" s="21">
        <f t="shared" ca="1" si="1"/>
        <v>15.4</v>
      </c>
      <c r="J6" s="19">
        <f t="shared" ca="1" si="2"/>
        <v>0.154</v>
      </c>
      <c r="K6">
        <f>COUNTIF($C:$C,tbt_fiis[[#This Row],[Categoria]])</f>
        <v>5</v>
      </c>
      <c r="N6" s="22"/>
      <c r="O6" s="1"/>
    </row>
    <row r="7" spans="1:15" ht="15" thickTop="1">
      <c r="A7" t="str">
        <f>tbt_fiis[[#This Row],[Categoria]]&amp;"-"&amp;tbt_fiis[[#This Row],[FIIS]]</f>
        <v>TIJOLOS-CPSH11</v>
      </c>
      <c r="B7" t="e" vm="6">
        <v>#VALUE!</v>
      </c>
      <c r="C7" t="s">
        <v>23</v>
      </c>
      <c r="D7" t="s">
        <v>58</v>
      </c>
      <c r="E7" s="18">
        <f>VALUE(APP!$G$29)</f>
        <v>113.85</v>
      </c>
      <c r="F7" s="20" cm="1">
        <f t="array" aca="1" ref="F7" ca="1">_FV(B7,"Preço")</f>
        <v>11.04</v>
      </c>
      <c r="G7" s="13">
        <f t="shared" si="0"/>
        <v>16.264285714285712</v>
      </c>
      <c r="H7">
        <f ca="1">INT(G7/F7)</f>
        <v>1</v>
      </c>
      <c r="I7" s="22">
        <f t="shared" ca="1" si="1"/>
        <v>11.04</v>
      </c>
      <c r="J7" s="18">
        <f t="shared" ca="1" si="2"/>
        <v>0.1104</v>
      </c>
      <c r="K7">
        <f>COUNTIF($C:$C,tbt_fiis[[#This Row],[Categoria]])</f>
        <v>7</v>
      </c>
      <c r="N7" s="22"/>
      <c r="O7" s="1"/>
    </row>
    <row r="8" spans="1:15">
      <c r="A8" t="str">
        <f>tbt_fiis[[#This Row],[Categoria]]&amp;"-"&amp;tbt_fiis[[#This Row],[FIIS]]</f>
        <v>TIJOLOS-XPML11</v>
      </c>
      <c r="B8" t="e" vm="7">
        <v>#VALUE!</v>
      </c>
      <c r="C8" t="s">
        <v>23</v>
      </c>
      <c r="D8" t="s">
        <v>59</v>
      </c>
      <c r="E8" s="18">
        <f>VALUE(APP!$G$29)</f>
        <v>113.85</v>
      </c>
      <c r="F8" s="12" cm="1">
        <f t="array" aca="1" ref="F8" ca="1">_FV(B8,"Preço")</f>
        <v>108.07</v>
      </c>
      <c r="G8" s="13">
        <f t="shared" si="0"/>
        <v>16.264285714285712</v>
      </c>
      <c r="H8">
        <f t="shared" ca="1" si="3"/>
        <v>0</v>
      </c>
      <c r="I8" s="22">
        <f t="shared" ca="1" si="1"/>
        <v>0</v>
      </c>
      <c r="J8" s="18">
        <f t="shared" ca="1" si="2"/>
        <v>0</v>
      </c>
      <c r="K8">
        <f>COUNTIF($C:$C,tbt_fiis[[#This Row],[Categoria]])</f>
        <v>7</v>
      </c>
      <c r="N8" s="22"/>
      <c r="O8" s="1"/>
    </row>
    <row r="9" spans="1:15">
      <c r="A9" t="str">
        <f>tbt_fiis[[#This Row],[Categoria]]&amp;"-"&amp;tbt_fiis[[#This Row],[FIIS]]</f>
        <v>TIJOLOS-GZIT11</v>
      </c>
      <c r="B9" t="e" vm="8">
        <v>#VALUE!</v>
      </c>
      <c r="C9" t="s">
        <v>23</v>
      </c>
      <c r="D9" t="s">
        <v>60</v>
      </c>
      <c r="E9" s="18">
        <f>VALUE(APP!$G$29)</f>
        <v>113.85</v>
      </c>
      <c r="F9" s="12" cm="1">
        <f t="array" aca="1" ref="F9" ca="1">_FV(B9,"Preço")</f>
        <v>45.1</v>
      </c>
      <c r="G9" s="13">
        <f t="shared" si="0"/>
        <v>16.264285714285712</v>
      </c>
      <c r="H9">
        <f t="shared" ca="1" si="3"/>
        <v>0</v>
      </c>
      <c r="I9" s="22">
        <f t="shared" ca="1" si="1"/>
        <v>0</v>
      </c>
      <c r="J9" s="18">
        <f t="shared" ca="1" si="2"/>
        <v>0</v>
      </c>
      <c r="K9">
        <f>COUNTIF($C:$C,tbt_fiis[[#This Row],[Categoria]])</f>
        <v>7</v>
      </c>
      <c r="N9" s="22"/>
      <c r="O9" s="1"/>
    </row>
    <row r="10" spans="1:15">
      <c r="A10" t="str">
        <f>tbt_fiis[[#This Row],[Categoria]]&amp;"-"&amp;tbt_fiis[[#This Row],[FIIS]]</f>
        <v>TIJOLOS-BLMG11</v>
      </c>
      <c r="B10" t="e" vm="9">
        <v>#VALUE!</v>
      </c>
      <c r="C10" t="s">
        <v>23</v>
      </c>
      <c r="D10" t="s">
        <v>61</v>
      </c>
      <c r="E10" s="18">
        <f>VALUE(APP!$G$29)</f>
        <v>113.85</v>
      </c>
      <c r="F10" s="12" cm="1">
        <f t="array" aca="1" ref="F10" ca="1">_FV(B10,"Preço")</f>
        <v>34.4</v>
      </c>
      <c r="G10" s="13">
        <f t="shared" si="0"/>
        <v>16.264285714285712</v>
      </c>
      <c r="H10">
        <f t="shared" ca="1" si="3"/>
        <v>0</v>
      </c>
      <c r="I10" s="22">
        <f t="shared" ca="1" si="1"/>
        <v>0</v>
      </c>
      <c r="J10" s="18">
        <f t="shared" ca="1" si="2"/>
        <v>0</v>
      </c>
      <c r="K10">
        <f>COUNTIF($C:$C,tbt_fiis[[#This Row],[Categoria]])</f>
        <v>7</v>
      </c>
      <c r="N10" s="22"/>
      <c r="O10" s="1"/>
    </row>
    <row r="11" spans="1:15">
      <c r="A11" t="str">
        <f>tbt_fiis[[#This Row],[Categoria]]&amp;"-"&amp;tbt_fiis[[#This Row],[FIIS]]</f>
        <v>TIJOLOS-RELG11</v>
      </c>
      <c r="B11" t="e" vm="10">
        <v>#VALUE!</v>
      </c>
      <c r="C11" t="s">
        <v>23</v>
      </c>
      <c r="D11" t="s">
        <v>62</v>
      </c>
      <c r="E11" s="18">
        <f>VALUE(APP!$G$29)</f>
        <v>113.85</v>
      </c>
      <c r="F11" s="12" cm="1">
        <f t="array" aca="1" ref="F11" ca="1">_FV(B11,"Preço")</f>
        <v>65.97</v>
      </c>
      <c r="G11" s="13">
        <f t="shared" si="0"/>
        <v>16.264285714285712</v>
      </c>
      <c r="H11">
        <f t="shared" ca="1" si="3"/>
        <v>0</v>
      </c>
      <c r="I11" s="22">
        <f t="shared" ca="1" si="1"/>
        <v>0</v>
      </c>
      <c r="J11" s="18">
        <f t="shared" ca="1" si="2"/>
        <v>0</v>
      </c>
      <c r="K11">
        <f>COUNTIF($C:$C,tbt_fiis[[#This Row],[Categoria]])</f>
        <v>7</v>
      </c>
      <c r="N11" s="22"/>
      <c r="O11" s="1"/>
    </row>
    <row r="12" spans="1:15">
      <c r="A12" t="str">
        <f>tbt_fiis[[#This Row],[Categoria]]&amp;"-"&amp;tbt_fiis[[#This Row],[FIIS]]</f>
        <v>TIJOLOS-PVBI11</v>
      </c>
      <c r="B12" t="e" vm="11">
        <v>#VALUE!</v>
      </c>
      <c r="C12" t="s">
        <v>23</v>
      </c>
      <c r="D12" t="s">
        <v>63</v>
      </c>
      <c r="E12" s="18">
        <f>VALUE(APP!$G$29)</f>
        <v>113.85</v>
      </c>
      <c r="F12" s="12" cm="1">
        <f t="array" aca="1" ref="F12" ca="1">_FV(B12,"Preço")</f>
        <v>82.11</v>
      </c>
      <c r="G12" s="13">
        <f t="shared" si="0"/>
        <v>16.264285714285712</v>
      </c>
      <c r="H12">
        <f t="shared" ca="1" si="3"/>
        <v>0</v>
      </c>
      <c r="I12" s="22">
        <f t="shared" ca="1" si="1"/>
        <v>0</v>
      </c>
      <c r="J12" s="18">
        <f t="shared" ca="1" si="2"/>
        <v>0</v>
      </c>
      <c r="K12">
        <f>COUNTIF($C:$C,tbt_fiis[[#This Row],[Categoria]])</f>
        <v>7</v>
      </c>
      <c r="N12" s="22"/>
      <c r="O12" s="1"/>
    </row>
    <row r="13" spans="1:15" ht="15" thickBot="1">
      <c r="A13" t="str">
        <f>tbt_fiis[[#This Row],[Categoria]]&amp;"-"&amp;tbt_fiis[[#This Row],[FIIS]]</f>
        <v>TIJOLOS-HGRE11</v>
      </c>
      <c r="B13" s="15" t="e" vm="12">
        <v>#VALUE!</v>
      </c>
      <c r="C13" s="15" t="s">
        <v>23</v>
      </c>
      <c r="D13" s="15" t="s">
        <v>64</v>
      </c>
      <c r="E13" s="19">
        <f>VALUE(APP!$G$29)</f>
        <v>113.85</v>
      </c>
      <c r="F13" s="17" cm="1">
        <f t="array" aca="1" ref="F13" ca="1">_FV(B13,"Preço")</f>
        <v>126.2</v>
      </c>
      <c r="G13" s="23">
        <f t="shared" si="0"/>
        <v>16.264285714285712</v>
      </c>
      <c r="H13" s="15">
        <f t="shared" ca="1" si="3"/>
        <v>0</v>
      </c>
      <c r="I13" s="21">
        <f t="shared" ca="1" si="1"/>
        <v>0</v>
      </c>
      <c r="J13" s="21">
        <f t="shared" ca="1" si="2"/>
        <v>0</v>
      </c>
      <c r="K13">
        <f>COUNTIF($C:$C,tbt_fiis[[#This Row],[Categoria]])</f>
        <v>7</v>
      </c>
      <c r="N13" s="22"/>
      <c r="O13" s="1"/>
    </row>
    <row r="14" spans="1:15" ht="15" thickTop="1">
      <c r="A14" t="str">
        <f>tbt_fiis[[#This Row],[Categoria]]&amp;"-"&amp;tbt_fiis[[#This Row],[FIIS]]</f>
        <v>HIBRIDO-SNFF11</v>
      </c>
      <c r="B14" t="e" vm="13">
        <v>#VALUE!</v>
      </c>
      <c r="C14" t="s">
        <v>73</v>
      </c>
      <c r="D14" t="s">
        <v>65</v>
      </c>
      <c r="E14" s="22">
        <f>VALUE('FIIS-DADOS '!G30)</f>
        <v>0</v>
      </c>
      <c r="F14" s="12" cm="1">
        <f t="array" aca="1" ref="F14" ca="1">_FV(B14,"Preço")</f>
        <v>76.13</v>
      </c>
      <c r="G14" s="24">
        <f>E14/K14</f>
        <v>0</v>
      </c>
      <c r="H14">
        <f t="shared" ca="1" si="3"/>
        <v>0</v>
      </c>
      <c r="I14" s="22">
        <f t="shared" ref="I14:I20" ca="1" si="4">H14*F14</f>
        <v>0</v>
      </c>
      <c r="J14" s="22">
        <f t="shared" ca="1" si="2"/>
        <v>0</v>
      </c>
      <c r="K14">
        <f>COUNTIF($C:$C,tbt_fiis[[#This Row],[Categoria]])</f>
        <v>2</v>
      </c>
      <c r="N14" s="22"/>
      <c r="O14" s="1"/>
    </row>
    <row r="15" spans="1:15" ht="15" thickBot="1">
      <c r="A15" t="str">
        <f>tbt_fiis[[#This Row],[Categoria]]&amp;"-"&amp;tbt_fiis[[#This Row],[FIIS]]</f>
        <v>HIBRIDO-BCFF11</v>
      </c>
      <c r="B15" s="15" t="e" vm="14">
        <v>#VALUE!</v>
      </c>
      <c r="C15" s="15" t="s">
        <v>73</v>
      </c>
      <c r="D15" s="15" t="s">
        <v>66</v>
      </c>
      <c r="E15" s="22">
        <f>VALUE('FIIS-DADOS '!G31)</f>
        <v>0</v>
      </c>
      <c r="F15" s="17" cm="1">
        <f t="array" aca="1" ref="F15" ca="1">_FV(B15,"Preço")*6.5</f>
        <v>48.8215</v>
      </c>
      <c r="G15" s="23">
        <f t="shared" si="0"/>
        <v>0</v>
      </c>
      <c r="H15" s="15">
        <f t="shared" ca="1" si="3"/>
        <v>0</v>
      </c>
      <c r="I15" s="21">
        <f t="shared" ca="1" si="4"/>
        <v>0</v>
      </c>
      <c r="J15" s="21">
        <f t="shared" ca="1" si="2"/>
        <v>0</v>
      </c>
      <c r="K15">
        <f>COUNTIF($C:$C,tbt_fiis[[#This Row],[Categoria]])</f>
        <v>2</v>
      </c>
      <c r="N15" s="22"/>
      <c r="O15" s="1"/>
    </row>
    <row r="16" spans="1:15" ht="15" thickTop="1">
      <c r="A16" t="str">
        <f>tbt_fiis[[#This Row],[Categoria]]&amp;"-"&amp;tbt_fiis[[#This Row],[FIIS]]</f>
        <v>FOF-SNFF11</v>
      </c>
      <c r="B16" t="e" vm="13">
        <v>#VALUE!</v>
      </c>
      <c r="C16" t="s">
        <v>46</v>
      </c>
      <c r="D16" t="s">
        <v>65</v>
      </c>
      <c r="E16" s="22">
        <f>VALUE(APP!$G$31)</f>
        <v>227.7</v>
      </c>
      <c r="F16" s="12" cm="1">
        <f t="array" aca="1" ref="F16" ca="1">_FV(B16,"Preço")</f>
        <v>76.13</v>
      </c>
      <c r="G16" s="24">
        <f t="shared" si="0"/>
        <v>113.85</v>
      </c>
      <c r="H16">
        <f t="shared" ca="1" si="3"/>
        <v>1</v>
      </c>
      <c r="I16" s="22">
        <f t="shared" ca="1" si="4"/>
        <v>76.13</v>
      </c>
      <c r="J16" s="22">
        <f t="shared" ca="1" si="2"/>
        <v>0.76129999999999998</v>
      </c>
      <c r="K16">
        <f>COUNTIF($C:$C,tbt_fiis[[#This Row],[Categoria]])</f>
        <v>2</v>
      </c>
      <c r="N16" s="22"/>
      <c r="O16" s="1"/>
    </row>
    <row r="17" spans="1:15" ht="15" thickBot="1">
      <c r="A17" t="str">
        <f>tbt_fiis[[#This Row],[Categoria]]&amp;"-"&amp;tbt_fiis[[#This Row],[FIIS]]</f>
        <v>FOF-HFOF11</v>
      </c>
      <c r="B17" s="15" t="e" vm="15">
        <v>#VALUE!</v>
      </c>
      <c r="C17" s="15" t="s">
        <v>46</v>
      </c>
      <c r="D17" s="15" t="s">
        <v>67</v>
      </c>
      <c r="E17" s="21">
        <f>VALUE(APP!$G$31)</f>
        <v>227.7</v>
      </c>
      <c r="F17" s="17" cm="1">
        <f t="array" aca="1" ref="F17" ca="1">_FV(B17,"Preço")</f>
        <v>6.57</v>
      </c>
      <c r="G17" s="16">
        <f t="shared" si="0"/>
        <v>113.85</v>
      </c>
      <c r="H17" s="15">
        <f t="shared" ca="1" si="3"/>
        <v>17</v>
      </c>
      <c r="I17" s="21">
        <f t="shared" ca="1" si="4"/>
        <v>111.69</v>
      </c>
      <c r="J17" s="21">
        <f t="shared" ca="1" si="2"/>
        <v>1.1169</v>
      </c>
      <c r="K17">
        <f>COUNTIF($C:$C,tbt_fiis[[#This Row],[Categoria]])</f>
        <v>2</v>
      </c>
      <c r="N17" s="22"/>
      <c r="O17" s="1"/>
    </row>
    <row r="18" spans="1:15" ht="15" thickTop="1">
      <c r="A18" t="str">
        <f>tbt_fiis[[#This Row],[Categoria]]&amp;"-"&amp;tbt_fiis[[#This Row],[FIIS]]</f>
        <v>DESENVOLVIMENTO-FIVN11</v>
      </c>
      <c r="B18" t="e" vm="16">
        <v>#VALUE!</v>
      </c>
      <c r="C18" t="s">
        <v>26</v>
      </c>
      <c r="D18" t="s">
        <v>68</v>
      </c>
      <c r="E18" s="22">
        <f>VALUE(APP!$G$32)</f>
        <v>0</v>
      </c>
      <c r="F18" s="12" cm="1">
        <f t="array" aca="1" ref="F18" ca="1">_FV(B18,"Preço")</f>
        <v>3.14</v>
      </c>
      <c r="G18" s="13">
        <f t="shared" si="0"/>
        <v>0</v>
      </c>
      <c r="H18">
        <f t="shared" ca="1" si="3"/>
        <v>0</v>
      </c>
      <c r="I18" s="25">
        <f t="shared" ca="1" si="4"/>
        <v>0</v>
      </c>
      <c r="J18" s="22">
        <f t="shared" ca="1" si="2"/>
        <v>0</v>
      </c>
      <c r="K18">
        <f>COUNTIF($C:$C,tbt_fiis[[#This Row],[Categoria]])</f>
        <v>2</v>
      </c>
      <c r="N18" s="22"/>
      <c r="O18" s="1"/>
    </row>
    <row r="19" spans="1:15" ht="15" thickBot="1">
      <c r="A19" t="str">
        <f>tbt_fiis[[#This Row],[Categoria]]&amp;"-"&amp;tbt_fiis[[#This Row],[FIIS]]</f>
        <v>DESENVOLVIMENTO-HCTR11</v>
      </c>
      <c r="B19" s="15" t="e" vm="3">
        <v>#VALUE!</v>
      </c>
      <c r="C19" s="15" t="s">
        <v>26</v>
      </c>
      <c r="D19" s="15" t="s">
        <v>55</v>
      </c>
      <c r="E19" s="21">
        <f>VALUE(APP!$G$32)</f>
        <v>0</v>
      </c>
      <c r="F19" s="17" cm="1">
        <f t="array" aca="1" ref="F19" ca="1">_FV(B19,"Preço")</f>
        <v>20.65</v>
      </c>
      <c r="G19" s="16">
        <f t="shared" si="0"/>
        <v>0</v>
      </c>
      <c r="H19" s="15">
        <f t="shared" ca="1" si="3"/>
        <v>0</v>
      </c>
      <c r="I19" s="21">
        <f t="shared" ca="1" si="4"/>
        <v>0</v>
      </c>
      <c r="J19" s="21">
        <f t="shared" ca="1" si="2"/>
        <v>0</v>
      </c>
      <c r="K19">
        <f>COUNTIF($C:$C,tbt_fiis[[#This Row],[Categoria]])</f>
        <v>2</v>
      </c>
      <c r="N19" s="22"/>
      <c r="O19" s="1"/>
    </row>
    <row r="20" spans="1:15" ht="15.6" thickTop="1" thickBot="1">
      <c r="A20" t="str">
        <f>tbt_fiis[[#This Row],[Categoria]]&amp;"-"&amp;tbt_fiis[[#This Row],[FIIS]]</f>
        <v>HOTELARIA-HTMX11</v>
      </c>
      <c r="B20" s="26" t="e" vm="17">
        <v>#VALUE!</v>
      </c>
      <c r="C20" s="27" t="s">
        <v>27</v>
      </c>
      <c r="D20" s="27" t="s">
        <v>69</v>
      </c>
      <c r="E20" s="28">
        <f>VALUE(APP!$G$33)</f>
        <v>0</v>
      </c>
      <c r="F20" s="20" cm="1">
        <f t="array" aca="1" ref="F20" ca="1">_FV(B20,"Preço")</f>
        <v>149.75</v>
      </c>
      <c r="G20" s="29">
        <f t="shared" si="0"/>
        <v>0</v>
      </c>
      <c r="H20" s="27">
        <f t="shared" ca="1" si="3"/>
        <v>0</v>
      </c>
      <c r="I20" s="28">
        <f t="shared" ca="1" si="4"/>
        <v>0</v>
      </c>
      <c r="J20" s="28">
        <f t="shared" ca="1" si="2"/>
        <v>0</v>
      </c>
      <c r="K20">
        <f>COUNTIF($C:$C,tbt_fiis[[#This Row],[Categoria]])</f>
        <v>1</v>
      </c>
      <c r="N20" s="22"/>
      <c r="O20" s="1"/>
    </row>
    <row r="21" spans="1:15" ht="15" thickTop="1">
      <c r="N21" s="22"/>
      <c r="O21" s="1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EDCAB-FF04-44BE-8CDA-121F29B6DE16}">
  <dimension ref="A1:K21"/>
  <sheetViews>
    <sheetView topLeftCell="A3" workbookViewId="0">
      <selection activeCell="K1" sqref="K1"/>
    </sheetView>
  </sheetViews>
  <sheetFormatPr defaultRowHeight="14.4"/>
  <cols>
    <col min="1" max="1" width="23.88671875" customWidth="1"/>
    <col min="2" max="2" width="7.77734375" bestFit="1" customWidth="1"/>
    <col min="3" max="3" width="19.88671875" customWidth="1"/>
    <col min="4" max="4" width="22.109375" customWidth="1"/>
    <col min="5" max="5" width="16" customWidth="1"/>
    <col min="6" max="6" width="31.5546875" customWidth="1"/>
    <col min="10" max="11" width="17.6640625" bestFit="1" customWidth="1"/>
  </cols>
  <sheetData>
    <row r="1" spans="1:11" ht="18" thickBot="1">
      <c r="A1" s="31" t="s">
        <v>48</v>
      </c>
      <c r="B1" s="31" t="s">
        <v>75</v>
      </c>
      <c r="C1" s="32" t="s">
        <v>77</v>
      </c>
      <c r="D1" s="32" t="s">
        <v>78</v>
      </c>
      <c r="E1" s="32" t="s">
        <v>79</v>
      </c>
      <c r="F1" s="33" t="s">
        <v>76</v>
      </c>
      <c r="K1" t="str" cm="1">
        <f t="array" ref="K1:K19">_xlfn._xlws.FILTER(Tabela6[CATEGORIA],_xlfn.BYROW(Tabela6[CATEGORIA],_xlfn.LAMBDA(_xlpm.X,SUBTOTAL(3,_xlpm.X))))</f>
        <v>PAPEL</v>
      </c>
    </row>
    <row r="2" spans="1:11">
      <c r="A2" t="s">
        <v>22</v>
      </c>
      <c r="B2" t="s">
        <v>53</v>
      </c>
      <c r="C2" s="12">
        <f>VALUE(tbt_fiis[[#This Row],[valor das FIIS]])</f>
        <v>22.77</v>
      </c>
      <c r="D2" s="22">
        <f ca="1">VALUE(tbt_fiis[[#This Row],[Preço da Cota]])</f>
        <v>64.849999999999994</v>
      </c>
      <c r="E2" s="30">
        <f ca="1">VALUE(tbt_fiis[[#This Row],[Quantidade de Cota]])</f>
        <v>0</v>
      </c>
      <c r="F2" s="22">
        <f ca="1">VALUE(tbt_fiis[[#This Row],[DIVIDENDO]])</f>
        <v>0</v>
      </c>
      <c r="K2" t="str">
        <v>PAPEL</v>
      </c>
    </row>
    <row r="3" spans="1:11">
      <c r="A3" t="s">
        <v>22</v>
      </c>
      <c r="B3" t="s">
        <v>54</v>
      </c>
      <c r="C3" s="12">
        <f>VALUE(tbt_fiis[[#This Row],[valor das FIIS]])</f>
        <v>22.77</v>
      </c>
      <c r="D3" s="22">
        <f ca="1">VALUE(tbt_fiis[[#This Row],[Preço da Cota]])</f>
        <v>68.400000000000006</v>
      </c>
      <c r="E3" s="30">
        <f ca="1">VALUE(tbt_fiis[[#This Row],[Quantidade de Cota]])</f>
        <v>0</v>
      </c>
      <c r="F3" s="22">
        <f ca="1">VALUE(tbt_fiis[[#This Row],[DIVIDENDO]])</f>
        <v>0</v>
      </c>
      <c r="K3" t="str">
        <v>PAPEL</v>
      </c>
    </row>
    <row r="4" spans="1:11">
      <c r="A4" t="s">
        <v>22</v>
      </c>
      <c r="B4" t="s">
        <v>55</v>
      </c>
      <c r="C4" s="12">
        <f>VALUE(tbt_fiis[[#This Row],[valor das FIIS]])</f>
        <v>22.77</v>
      </c>
      <c r="D4" s="22">
        <f ca="1">VALUE(tbt_fiis[[#This Row],[Preço da Cota]])</f>
        <v>20.65</v>
      </c>
      <c r="E4" s="30">
        <f ca="1">VALUE(tbt_fiis[[#This Row],[Quantidade de Cota]])</f>
        <v>1</v>
      </c>
      <c r="F4" s="22">
        <f ca="1">VALUE(tbt_fiis[[#This Row],[DIVIDENDO]])</f>
        <v>0.20649999999999999</v>
      </c>
      <c r="K4" t="str">
        <v>PAPEL</v>
      </c>
    </row>
    <row r="5" spans="1:11">
      <c r="A5" t="s">
        <v>22</v>
      </c>
      <c r="B5" t="s">
        <v>56</v>
      </c>
      <c r="C5" s="12">
        <f>VALUE(tbt_fiis[[#This Row],[valor das FIIS]])</f>
        <v>22.77</v>
      </c>
      <c r="D5" s="22">
        <f ca="1">VALUE(tbt_fiis[[#This Row],[Preço da Cota]])</f>
        <v>98.17</v>
      </c>
      <c r="E5" s="30">
        <f ca="1">VALUE(tbt_fiis[[#This Row],[Quantidade de Cota]])</f>
        <v>0</v>
      </c>
      <c r="F5" s="22">
        <f ca="1">VALUE(tbt_fiis[[#This Row],[DIVIDENDO]])</f>
        <v>0</v>
      </c>
      <c r="K5" t="str">
        <v>PAPEL</v>
      </c>
    </row>
    <row r="6" spans="1:11">
      <c r="A6" t="s">
        <v>22</v>
      </c>
      <c r="B6" t="s">
        <v>57</v>
      </c>
      <c r="C6" s="12">
        <f>VALUE(tbt_fiis[[#This Row],[valor das FIIS]])</f>
        <v>22.77</v>
      </c>
      <c r="D6" s="22">
        <f ca="1">VALUE(tbt_fiis[[#This Row],[Preço da Cota]])</f>
        <v>7.7</v>
      </c>
      <c r="E6" s="30">
        <f ca="1">VALUE(tbt_fiis[[#This Row],[Quantidade de Cota]])</f>
        <v>2</v>
      </c>
      <c r="F6" s="22">
        <f ca="1">VALUE(tbt_fiis[[#This Row],[DIVIDENDO]])</f>
        <v>0.154</v>
      </c>
      <c r="K6" t="str">
        <v>TIJOLOS</v>
      </c>
    </row>
    <row r="7" spans="1:11">
      <c r="A7" t="s">
        <v>23</v>
      </c>
      <c r="B7" t="s">
        <v>58</v>
      </c>
      <c r="C7" s="12">
        <f>VALUE(tbt_fiis[[#This Row],[valor das FIIS]])</f>
        <v>16.264285714285712</v>
      </c>
      <c r="D7" s="22">
        <f ca="1">VALUE(tbt_fiis[[#This Row],[Preço da Cota]])</f>
        <v>11.04</v>
      </c>
      <c r="E7" s="30">
        <f ca="1">VALUE(tbt_fiis[[#This Row],[Quantidade de Cota]])</f>
        <v>1</v>
      </c>
      <c r="F7" s="22">
        <f ca="1">VALUE(tbt_fiis[[#This Row],[DIVIDENDO]])</f>
        <v>0.1104</v>
      </c>
      <c r="K7" t="str">
        <v>TIJOLOS</v>
      </c>
    </row>
    <row r="8" spans="1:11">
      <c r="A8" t="s">
        <v>23</v>
      </c>
      <c r="B8" t="s">
        <v>59</v>
      </c>
      <c r="C8" s="12">
        <f>VALUE(tbt_fiis[[#This Row],[valor das FIIS]])</f>
        <v>16.264285714285712</v>
      </c>
      <c r="D8" s="22">
        <f ca="1">VALUE(tbt_fiis[[#This Row],[Preço da Cota]])</f>
        <v>108.07</v>
      </c>
      <c r="E8" s="30">
        <f ca="1">VALUE(tbt_fiis[[#This Row],[Quantidade de Cota]])</f>
        <v>0</v>
      </c>
      <c r="F8" s="22">
        <f ca="1">VALUE(tbt_fiis[[#This Row],[DIVIDENDO]])</f>
        <v>0</v>
      </c>
      <c r="K8" t="str">
        <v>TIJOLOS</v>
      </c>
    </row>
    <row r="9" spans="1:11">
      <c r="A9" t="s">
        <v>23</v>
      </c>
      <c r="B9" t="s">
        <v>60</v>
      </c>
      <c r="C9" s="12">
        <f>VALUE(tbt_fiis[[#This Row],[valor das FIIS]])</f>
        <v>16.264285714285712</v>
      </c>
      <c r="D9" s="22">
        <f ca="1">VALUE(tbt_fiis[[#This Row],[Preço da Cota]])</f>
        <v>45.1</v>
      </c>
      <c r="E9" s="30">
        <f ca="1">VALUE(tbt_fiis[[#This Row],[Quantidade de Cota]])</f>
        <v>0</v>
      </c>
      <c r="F9" s="22">
        <f ca="1">VALUE(tbt_fiis[[#This Row],[DIVIDENDO]])</f>
        <v>0</v>
      </c>
      <c r="K9" t="str">
        <v>TIJOLOS</v>
      </c>
    </row>
    <row r="10" spans="1:11">
      <c r="A10" t="s">
        <v>23</v>
      </c>
      <c r="B10" t="s">
        <v>61</v>
      </c>
      <c r="C10" s="12">
        <f>VALUE(tbt_fiis[[#This Row],[valor das FIIS]])</f>
        <v>16.264285714285712</v>
      </c>
      <c r="D10" s="22">
        <f ca="1">VALUE(tbt_fiis[[#This Row],[Preço da Cota]])</f>
        <v>34.4</v>
      </c>
      <c r="E10" s="30">
        <f ca="1">VALUE(tbt_fiis[[#This Row],[Quantidade de Cota]])</f>
        <v>0</v>
      </c>
      <c r="F10" s="22">
        <f ca="1">VALUE(tbt_fiis[[#This Row],[DIVIDENDO]])</f>
        <v>0</v>
      </c>
      <c r="K10" t="str">
        <v>TIJOLOS</v>
      </c>
    </row>
    <row r="11" spans="1:11">
      <c r="A11" t="s">
        <v>23</v>
      </c>
      <c r="B11" t="s">
        <v>62</v>
      </c>
      <c r="C11" s="12">
        <f>VALUE(tbt_fiis[[#This Row],[valor das FIIS]])</f>
        <v>16.264285714285712</v>
      </c>
      <c r="D11" s="22">
        <f ca="1">VALUE(tbt_fiis[[#This Row],[Preço da Cota]])</f>
        <v>65.97</v>
      </c>
      <c r="E11" s="30">
        <f ca="1">VALUE(tbt_fiis[[#This Row],[Quantidade de Cota]])</f>
        <v>0</v>
      </c>
      <c r="F11" s="22">
        <f ca="1">VALUE(tbt_fiis[[#This Row],[DIVIDENDO]])</f>
        <v>0</v>
      </c>
      <c r="K11" t="str">
        <v>TIJOLOS</v>
      </c>
    </row>
    <row r="12" spans="1:11">
      <c r="A12" t="s">
        <v>23</v>
      </c>
      <c r="B12" t="s">
        <v>63</v>
      </c>
      <c r="C12" s="12">
        <f>VALUE(tbt_fiis[[#This Row],[valor das FIIS]])</f>
        <v>16.264285714285712</v>
      </c>
      <c r="D12" s="22">
        <f ca="1">VALUE(tbt_fiis[[#This Row],[Preço da Cota]])</f>
        <v>82.11</v>
      </c>
      <c r="E12" s="30">
        <f ca="1">VALUE(tbt_fiis[[#This Row],[Quantidade de Cota]])</f>
        <v>0</v>
      </c>
      <c r="F12" s="22">
        <f ca="1">VALUE(tbt_fiis[[#This Row],[DIVIDENDO]])</f>
        <v>0</v>
      </c>
      <c r="K12" t="str">
        <v>TIJOLOS</v>
      </c>
    </row>
    <row r="13" spans="1:11">
      <c r="A13" t="s">
        <v>23</v>
      </c>
      <c r="B13" t="s">
        <v>64</v>
      </c>
      <c r="C13" s="12">
        <f>VALUE(tbt_fiis[[#This Row],[valor das FIIS]])</f>
        <v>16.264285714285712</v>
      </c>
      <c r="D13" s="22">
        <f ca="1">VALUE(tbt_fiis[[#This Row],[Preço da Cota]])</f>
        <v>126.2</v>
      </c>
      <c r="E13" s="30">
        <f ca="1">VALUE(tbt_fiis[[#This Row],[Quantidade de Cota]])</f>
        <v>0</v>
      </c>
      <c r="F13" s="22">
        <f ca="1">VALUE(tbt_fiis[[#This Row],[DIVIDENDO]])</f>
        <v>0</v>
      </c>
      <c r="K13" t="str">
        <v>HIBRIDO</v>
      </c>
    </row>
    <row r="14" spans="1:11">
      <c r="A14" t="s">
        <v>73</v>
      </c>
      <c r="B14" t="s">
        <v>65</v>
      </c>
      <c r="C14" s="12">
        <f>VALUE(tbt_fiis[[#This Row],[valor das FIIS]])</f>
        <v>0</v>
      </c>
      <c r="D14" s="22">
        <f ca="1">VALUE(tbt_fiis[[#This Row],[Preço da Cota]])</f>
        <v>76.13</v>
      </c>
      <c r="E14" s="30">
        <f ca="1">VALUE(tbt_fiis[[#This Row],[Quantidade de Cota]])</f>
        <v>0</v>
      </c>
      <c r="F14" s="22">
        <f ca="1">VALUE(tbt_fiis[[#This Row],[DIVIDENDO]])</f>
        <v>0</v>
      </c>
      <c r="K14" t="str">
        <v>HIBRIDO</v>
      </c>
    </row>
    <row r="15" spans="1:11">
      <c r="A15" t="s">
        <v>73</v>
      </c>
      <c r="B15" t="s">
        <v>66</v>
      </c>
      <c r="C15" s="12">
        <f>VALUE(tbt_fiis[[#This Row],[valor das FIIS]])</f>
        <v>0</v>
      </c>
      <c r="D15" s="22">
        <f ca="1">VALUE(tbt_fiis[[#This Row],[Preço da Cota]])</f>
        <v>48.8215</v>
      </c>
      <c r="E15" s="30">
        <f ca="1">VALUE(tbt_fiis[[#This Row],[Quantidade de Cota]])</f>
        <v>0</v>
      </c>
      <c r="F15" s="22">
        <f ca="1">VALUE(tbt_fiis[[#This Row],[DIVIDENDO]])</f>
        <v>0</v>
      </c>
      <c r="K15" t="str">
        <v>FOF</v>
      </c>
    </row>
    <row r="16" spans="1:11">
      <c r="A16" t="s">
        <v>46</v>
      </c>
      <c r="B16" t="s">
        <v>65</v>
      </c>
      <c r="C16" s="12">
        <f>VALUE(tbt_fiis[[#This Row],[valor das FIIS]])</f>
        <v>113.85</v>
      </c>
      <c r="D16" s="22">
        <f ca="1">VALUE(tbt_fiis[[#This Row],[Preço da Cota]])</f>
        <v>76.13</v>
      </c>
      <c r="E16" s="30">
        <f ca="1">VALUE(tbt_fiis[[#This Row],[Quantidade de Cota]])</f>
        <v>1</v>
      </c>
      <c r="F16" s="22">
        <f ca="1">VALUE(tbt_fiis[[#This Row],[DIVIDENDO]])</f>
        <v>0.76129999999999998</v>
      </c>
      <c r="K16" t="str">
        <v>FOF</v>
      </c>
    </row>
    <row r="17" spans="1:11">
      <c r="A17" t="s">
        <v>46</v>
      </c>
      <c r="B17" t="s">
        <v>67</v>
      </c>
      <c r="C17" s="12">
        <f>VALUE(tbt_fiis[[#This Row],[valor das FIIS]])</f>
        <v>113.85</v>
      </c>
      <c r="D17" s="22">
        <f ca="1">VALUE(tbt_fiis[[#This Row],[Preço da Cota]])</f>
        <v>6.57</v>
      </c>
      <c r="E17" s="30">
        <f ca="1">VALUE(tbt_fiis[[#This Row],[Quantidade de Cota]])</f>
        <v>17</v>
      </c>
      <c r="F17" s="22">
        <f ca="1">VALUE(tbt_fiis[[#This Row],[DIVIDENDO]])</f>
        <v>1.1169</v>
      </c>
      <c r="K17" t="str">
        <v>DESENVOLVIMENTO</v>
      </c>
    </row>
    <row r="18" spans="1:11">
      <c r="A18" t="s">
        <v>26</v>
      </c>
      <c r="B18" t="s">
        <v>68</v>
      </c>
      <c r="C18" s="12">
        <f>VALUE(tbt_fiis[[#This Row],[valor das FIIS]])</f>
        <v>0</v>
      </c>
      <c r="D18" s="22">
        <f ca="1">VALUE(tbt_fiis[[#This Row],[Preço da Cota]])</f>
        <v>3.14</v>
      </c>
      <c r="E18" s="30">
        <f ca="1">VALUE(tbt_fiis[[#This Row],[Quantidade de Cota]])</f>
        <v>0</v>
      </c>
      <c r="F18" s="22">
        <f ca="1">VALUE(tbt_fiis[[#This Row],[DIVIDENDO]])</f>
        <v>0</v>
      </c>
      <c r="K18" t="str">
        <v>DESENVOLVIMENTO</v>
      </c>
    </row>
    <row r="19" spans="1:11">
      <c r="A19" t="s">
        <v>26</v>
      </c>
      <c r="B19" t="s">
        <v>55</v>
      </c>
      <c r="C19" s="12">
        <f>VALUE(tbt_fiis[[#This Row],[valor das FIIS]])</f>
        <v>0</v>
      </c>
      <c r="D19" s="22">
        <f ca="1">VALUE(tbt_fiis[[#This Row],[Preço da Cota]])</f>
        <v>20.65</v>
      </c>
      <c r="E19" s="30">
        <f ca="1">VALUE(tbt_fiis[[#This Row],[Quantidade de Cota]])</f>
        <v>0</v>
      </c>
      <c r="F19" s="22">
        <f ca="1">VALUE(tbt_fiis[[#This Row],[DIVIDENDO]])</f>
        <v>0</v>
      </c>
      <c r="K19" t="str">
        <v>HOTELARIA</v>
      </c>
    </row>
    <row r="20" spans="1:11">
      <c r="A20" t="s">
        <v>27</v>
      </c>
      <c r="B20" t="s">
        <v>69</v>
      </c>
      <c r="C20" s="12">
        <f>VALUE(tbt_fiis[[#This Row],[valor das FIIS]])</f>
        <v>0</v>
      </c>
      <c r="D20" s="22">
        <f ca="1">VALUE(tbt_fiis[[#This Row],[Preço da Cota]])</f>
        <v>149.75</v>
      </c>
      <c r="E20" s="30">
        <f ca="1">VALUE(tbt_fiis[[#This Row],[Quantidade de Cota]])</f>
        <v>0</v>
      </c>
      <c r="F20" s="22">
        <f ca="1">VALUE(tbt_fiis[[#This Row],[DIVIDENDO]])</f>
        <v>0</v>
      </c>
    </row>
    <row r="21" spans="1:11">
      <c r="C21" s="12"/>
      <c r="D21" s="22"/>
      <c r="E21" s="30"/>
      <c r="F21" s="22"/>
    </row>
  </sheetData>
  <phoneticPr fontId="24" type="noConversion"/>
  <pageMargins left="0.511811024" right="0.511811024" top="0.78740157499999996" bottom="0.78740157499999996" header="0.31496062000000002" footer="0.31496062000000002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B3991-6EE5-4296-95B7-47E352EDBCEC}">
  <sheetPr codeName="Planilha3"/>
  <dimension ref="A1:H19"/>
  <sheetViews>
    <sheetView topLeftCell="B1" workbookViewId="0">
      <selection activeCell="J1" sqref="J1:J8"/>
    </sheetView>
  </sheetViews>
  <sheetFormatPr defaultRowHeight="14.4"/>
  <cols>
    <col min="1" max="1" width="31.5546875" bestFit="1" customWidth="1"/>
    <col min="2" max="2" width="14" bestFit="1" customWidth="1"/>
    <col min="3" max="3" width="17.6640625" bestFit="1" customWidth="1"/>
    <col min="4" max="4" width="8.109375" bestFit="1" customWidth="1"/>
    <col min="5" max="5" width="1.77734375" customWidth="1"/>
    <col min="6" max="6" width="31.5546875" bestFit="1" customWidth="1"/>
    <col min="7" max="7" width="1.6640625" customWidth="1"/>
    <col min="8" max="8" width="17.6640625" bestFit="1" customWidth="1"/>
    <col min="10" max="10" width="17.6640625" bestFit="1" customWidth="1"/>
    <col min="11" max="11" width="16.5546875" customWidth="1"/>
  </cols>
  <sheetData>
    <row r="1" spans="1:8">
      <c r="A1" s="3" t="s">
        <v>33</v>
      </c>
      <c r="B1" s="3" t="s">
        <v>19</v>
      </c>
      <c r="C1" s="3" t="s">
        <v>34</v>
      </c>
      <c r="D1" s="3" t="s">
        <v>35</v>
      </c>
      <c r="F1" t="s">
        <v>11</v>
      </c>
      <c r="H1" t="s">
        <v>19</v>
      </c>
    </row>
    <row r="2" spans="1:8">
      <c r="A2" s="8" t="str">
        <f>B2&amp;"-"&amp;C2</f>
        <v>CONSERVADOR-PAPEL</v>
      </c>
      <c r="B2" s="3" t="s">
        <v>31</v>
      </c>
      <c r="C2" s="3" t="s">
        <v>22</v>
      </c>
      <c r="D2" s="2">
        <v>0.55000000000000004</v>
      </c>
      <c r="F2" s="1">
        <v>2</v>
      </c>
      <c r="H2" t="s">
        <v>31</v>
      </c>
    </row>
    <row r="3" spans="1:8">
      <c r="A3" s="8" t="str">
        <f t="shared" ref="A3:A19" si="0">B3&amp;"-"&amp;C3</f>
        <v>CONSERVADOR-TIJOLOS</v>
      </c>
      <c r="B3" s="3" t="s">
        <v>31</v>
      </c>
      <c r="C3" s="3" t="s">
        <v>23</v>
      </c>
      <c r="D3" s="2">
        <v>0.3</v>
      </c>
      <c r="F3" s="1">
        <v>5</v>
      </c>
      <c r="H3" t="s">
        <v>30</v>
      </c>
    </row>
    <row r="4" spans="1:8">
      <c r="A4" s="8" t="str">
        <f t="shared" si="0"/>
        <v>CONSERVADOR-HIBRIDOS</v>
      </c>
      <c r="B4" s="3" t="s">
        <v>31</v>
      </c>
      <c r="C4" s="3" t="s">
        <v>24</v>
      </c>
      <c r="D4" s="2">
        <v>0</v>
      </c>
      <c r="F4" s="1">
        <v>10</v>
      </c>
      <c r="H4" t="s">
        <v>32</v>
      </c>
    </row>
    <row r="5" spans="1:8">
      <c r="A5" s="8" t="str">
        <f t="shared" si="0"/>
        <v>CONSERVADOR-FOFS</v>
      </c>
      <c r="B5" s="3" t="s">
        <v>31</v>
      </c>
      <c r="C5" s="3" t="s">
        <v>25</v>
      </c>
      <c r="D5" s="2">
        <v>0.15</v>
      </c>
      <c r="F5" s="1">
        <v>20</v>
      </c>
    </row>
    <row r="6" spans="1:8">
      <c r="A6" s="8" t="str">
        <f t="shared" si="0"/>
        <v>CONSERVADOR-DESENVOLVIMENTO</v>
      </c>
      <c r="B6" s="3" t="s">
        <v>31</v>
      </c>
      <c r="C6" s="3" t="s">
        <v>26</v>
      </c>
      <c r="D6" s="2">
        <v>0</v>
      </c>
      <c r="F6" s="1">
        <v>30</v>
      </c>
    </row>
    <row r="7" spans="1:8">
      <c r="A7" s="9" t="str">
        <f t="shared" si="0"/>
        <v>CONSERVADOR-HOTELARIA</v>
      </c>
      <c r="B7" s="4" t="s">
        <v>31</v>
      </c>
      <c r="C7" s="4" t="s">
        <v>27</v>
      </c>
      <c r="D7" s="7">
        <v>0</v>
      </c>
    </row>
    <row r="8" spans="1:8">
      <c r="A8" s="8" t="str">
        <f t="shared" si="0"/>
        <v>MODERADO-PAPEL</v>
      </c>
      <c r="B8" s="3" t="s">
        <v>30</v>
      </c>
      <c r="C8" s="3" t="s">
        <v>22</v>
      </c>
      <c r="D8" s="5">
        <v>0.4</v>
      </c>
      <c r="F8" s="10" t="s">
        <v>36</v>
      </c>
    </row>
    <row r="9" spans="1:8">
      <c r="A9" s="8" t="str">
        <f t="shared" si="0"/>
        <v>MODERADO-TIJOLOS</v>
      </c>
      <c r="B9" s="3" t="s">
        <v>30</v>
      </c>
      <c r="C9" s="3" t="s">
        <v>23</v>
      </c>
      <c r="D9" s="5">
        <v>0.4</v>
      </c>
      <c r="F9" s="11">
        <f>VLOOKUP(F8,A1:D19,4,)</f>
        <v>0.55000000000000004</v>
      </c>
    </row>
    <row r="10" spans="1:8">
      <c r="A10" s="8" t="str">
        <f t="shared" si="0"/>
        <v>MODERADO-HIBRIDOS</v>
      </c>
      <c r="B10" s="3" t="s">
        <v>30</v>
      </c>
      <c r="C10" s="3" t="s">
        <v>24</v>
      </c>
      <c r="D10" s="5">
        <v>0</v>
      </c>
    </row>
    <row r="11" spans="1:8">
      <c r="A11" s="8" t="str">
        <f t="shared" si="0"/>
        <v>MODERADO-FOFS</v>
      </c>
      <c r="B11" s="3" t="s">
        <v>30</v>
      </c>
      <c r="C11" s="3" t="s">
        <v>25</v>
      </c>
      <c r="D11" s="5">
        <v>0.2</v>
      </c>
    </row>
    <row r="12" spans="1:8">
      <c r="A12" s="8" t="str">
        <f t="shared" si="0"/>
        <v>MODERADO-DESENVOLVIMENTO</v>
      </c>
      <c r="B12" s="3" t="s">
        <v>30</v>
      </c>
      <c r="C12" s="3" t="s">
        <v>26</v>
      </c>
      <c r="D12" s="5">
        <v>0</v>
      </c>
    </row>
    <row r="13" spans="1:8">
      <c r="A13" s="9" t="str">
        <f t="shared" si="0"/>
        <v>MODERADO-HOTELARIA</v>
      </c>
      <c r="B13" s="4" t="s">
        <v>30</v>
      </c>
      <c r="C13" s="4" t="s">
        <v>27</v>
      </c>
      <c r="D13" s="6">
        <v>0</v>
      </c>
    </row>
    <row r="14" spans="1:8">
      <c r="A14" s="8" t="str">
        <f t="shared" si="0"/>
        <v>AGRESSIVO-PAPEL</v>
      </c>
      <c r="B14" s="3" t="s">
        <v>32</v>
      </c>
      <c r="C14" s="3" t="s">
        <v>22</v>
      </c>
      <c r="D14" s="5">
        <v>0.25</v>
      </c>
    </row>
    <row r="15" spans="1:8">
      <c r="A15" s="8" t="str">
        <f t="shared" si="0"/>
        <v>AGRESSIVO-TIJOLOS</v>
      </c>
      <c r="B15" s="3" t="s">
        <v>32</v>
      </c>
      <c r="C15" s="3" t="s">
        <v>23</v>
      </c>
      <c r="D15" s="5">
        <v>0.25</v>
      </c>
    </row>
    <row r="16" spans="1:8">
      <c r="A16" s="8" t="str">
        <f t="shared" si="0"/>
        <v>AGRESSIVO-HIBRIDOS</v>
      </c>
      <c r="B16" s="3" t="s">
        <v>32</v>
      </c>
      <c r="C16" s="3" t="s">
        <v>24</v>
      </c>
      <c r="D16" s="5">
        <v>0</v>
      </c>
    </row>
    <row r="17" spans="1:4">
      <c r="A17" s="8" t="str">
        <f t="shared" si="0"/>
        <v>AGRESSIVO-FOFS</v>
      </c>
      <c r="B17" s="3" t="s">
        <v>32</v>
      </c>
      <c r="C17" s="3" t="s">
        <v>25</v>
      </c>
      <c r="D17" s="5">
        <v>0.5</v>
      </c>
    </row>
    <row r="18" spans="1:4">
      <c r="A18" s="8" t="str">
        <f t="shared" si="0"/>
        <v>AGRESSIVO-DESENVOLVIMENTO</v>
      </c>
      <c r="B18" s="3" t="s">
        <v>32</v>
      </c>
      <c r="C18" s="3" t="s">
        <v>26</v>
      </c>
      <c r="D18" s="5">
        <v>0</v>
      </c>
    </row>
    <row r="19" spans="1:4">
      <c r="A19" s="8" t="str">
        <f t="shared" si="0"/>
        <v>AGRESSIVO-HOTELARIA</v>
      </c>
      <c r="B19" s="3" t="s">
        <v>32</v>
      </c>
      <c r="C19" s="3" t="s">
        <v>27</v>
      </c>
      <c r="D19" s="5">
        <v>0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6</vt:i4>
      </vt:variant>
    </vt:vector>
  </HeadingPairs>
  <TitlesOfParts>
    <vt:vector size="10" baseType="lpstr">
      <vt:lpstr>APP</vt:lpstr>
      <vt:lpstr>FIIS-DADOS </vt:lpstr>
      <vt:lpstr>FIIS</vt:lpstr>
      <vt:lpstr>BASE DE DADOS DE APOIO</vt:lpstr>
      <vt:lpstr>Aporte</vt:lpstr>
      <vt:lpstr>AporteAno</vt:lpstr>
      <vt:lpstr>patrimonio_acumulado</vt:lpstr>
      <vt:lpstr>sugestao_iv</vt:lpstr>
      <vt:lpstr>tx_carteira</vt:lpstr>
      <vt:lpstr>txr_mensal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Ferreira</dc:creator>
  <cp:lastModifiedBy>Antonio Ferreira</cp:lastModifiedBy>
  <dcterms:created xsi:type="dcterms:W3CDTF">2025-12-25T23:07:01Z</dcterms:created>
  <dcterms:modified xsi:type="dcterms:W3CDTF">2025-12-29T22:33:17Z</dcterms:modified>
</cp:coreProperties>
</file>